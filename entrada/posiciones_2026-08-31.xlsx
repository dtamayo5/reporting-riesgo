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enerales" sheetId="1" state="visible" r:id="rId1"/>
    <sheet xmlns:r="http://schemas.openxmlformats.org/officeDocument/2006/relationships" name="Inversiones" sheetId="2" state="visible" r:id="rId2"/>
    <sheet xmlns:r="http://schemas.openxmlformats.org/officeDocument/2006/relationships" name="Flujos_liquidez" sheetId="3" state="visible" r:id="rId3"/>
    <sheet xmlns:r="http://schemas.openxmlformats.org/officeDocument/2006/relationships" name="Depositos_vista" sheetId="4" state="visible" r:id="rId4"/>
    <sheet xmlns:r="http://schemas.openxmlformats.org/officeDocument/2006/relationships" name="Resumen_man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49" fontId="4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  <xf numFmtId="166" fontId="4" fillId="0" borderId="0" pivotButton="0" quotePrefix="0" xfId="0"/>
    <xf numFmtId="9" fontId="4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Datos generales del corte</t>
        </is>
      </c>
    </row>
    <row r="4">
      <c r="A4" s="3" t="inlineStr">
        <is>
          <t>Fecha de corte</t>
        </is>
      </c>
      <c r="B4" s="4" t="n">
        <v>46265</v>
      </c>
    </row>
    <row r="5">
      <c r="A5" s="3" t="inlineStr">
        <is>
          <t>Patrimonio técnico (COP)</t>
        </is>
      </c>
      <c r="B5" s="5" t="n">
        <v>98200000000</v>
      </c>
    </row>
    <row r="6">
      <c r="A6" s="3" t="inlineStr">
        <is>
          <t>Elaborado por</t>
        </is>
      </c>
      <c r="B6" s="6" t="inlineStr">
        <is>
          <t>Tesorería</t>
        </is>
      </c>
    </row>
    <row r="7">
      <c r="A7" s="3" t="inlineStr">
        <is>
          <t>Revisado por</t>
        </is>
      </c>
      <c r="B7" s="6" t="inlineStr">
        <is>
          <t>Área de Riesgos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30" customWidth="1" min="4" max="4"/>
    <col width="11" customWidth="1" min="5" max="5"/>
    <col width="16" customWidth="1" min="6" max="6"/>
    <col width="22" customWidth="1" min="7" max="7"/>
    <col width="8" customWidth="1" min="8" max="8"/>
    <col width="17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13" customWidth="1" min="15" max="15"/>
    <col width="17" customWidth="1" min="16" max="16"/>
    <col width="6" customWidth="1" min="17" max="17"/>
    <col width="11" customWidth="1" min="18" max="18"/>
  </cols>
  <sheetData>
    <row r="1">
      <c r="A1" s="1" t="inlineStr">
        <is>
          <t>COOPERATIVA FINANCIERA EJEMPLO</t>
        </is>
      </c>
    </row>
    <row r="2">
      <c r="A2" s="2" t="inlineStr">
        <is>
          <t>Portafolio de inversiones - corte 31/08/2026</t>
        </is>
      </c>
    </row>
    <row r="3">
      <c r="A3" s="2" t="inlineStr">
        <is>
          <t>Cifras en pesos colombianos. Fuente: Tesorería (consolidado manual).</t>
        </is>
      </c>
    </row>
    <row r="5" ht="30" customHeight="1">
      <c r="A5" s="7" t="inlineStr">
        <is>
          <t>No.</t>
        </is>
      </c>
      <c r="B5" s="7" t="inlineStr">
        <is>
          <t>Especie / Nemotécnico</t>
        </is>
      </c>
      <c r="C5" s="7" t="inlineStr">
        <is>
          <t>Tipo de instrumento</t>
        </is>
      </c>
      <c r="D5" s="7" t="inlineStr">
        <is>
          <t>Emisor</t>
        </is>
      </c>
      <c r="E5" s="7" t="inlineStr">
        <is>
          <t>Calificación</t>
        </is>
      </c>
      <c r="F5" s="7" t="inlineStr">
        <is>
          <t>Portafolio</t>
        </is>
      </c>
      <c r="G5" s="7" t="inlineStr">
        <is>
          <t>Clasificación contable</t>
        </is>
      </c>
      <c r="H5" s="7" t="inlineStr">
        <is>
          <t>Moneda</t>
        </is>
      </c>
      <c r="I5" s="7" t="inlineStr">
        <is>
          <t>Valor nominal</t>
        </is>
      </c>
      <c r="J5" s="7" t="inlineStr">
        <is>
          <t>Tasa facial</t>
        </is>
      </c>
      <c r="K5" s="7" t="inlineStr">
        <is>
          <t>Margen IBR</t>
        </is>
      </c>
      <c r="L5" s="7" t="inlineStr">
        <is>
          <t>Modalidad</t>
        </is>
      </c>
      <c r="M5" s="7" t="inlineStr">
        <is>
          <t>Periodicidad</t>
        </is>
      </c>
      <c r="N5" s="7" t="inlineStr">
        <is>
          <t>Fecha emisión</t>
        </is>
      </c>
      <c r="O5" s="7" t="inlineStr">
        <is>
          <t>Fecha vencimiento</t>
        </is>
      </c>
      <c r="P5" s="7" t="inlineStr">
        <is>
          <t>Valor de mercado</t>
        </is>
      </c>
      <c r="Q5" s="7" t="inlineStr">
        <is>
          <t>Beta</t>
        </is>
      </c>
      <c r="R5" s="7" t="inlineStr">
        <is>
          <t>Restringido</t>
        </is>
      </c>
    </row>
    <row r="6">
      <c r="A6" s="8" t="n">
        <v>101</v>
      </c>
      <c r="B6" s="8" t="inlineStr">
        <is>
          <t>Cuenta de ahorros 2201</t>
        </is>
      </c>
      <c r="C6" s="8" t="inlineStr">
        <is>
          <t>Cuenta de ahorros</t>
        </is>
      </c>
      <c r="D6" s="8" t="inlineStr">
        <is>
          <t>Banco Altiplano</t>
        </is>
      </c>
      <c r="E6" s="8" t="inlineStr">
        <is>
          <t>AAA</t>
        </is>
      </c>
      <c r="F6" s="8" t="inlineStr">
        <is>
          <t>Tesorería</t>
        </is>
      </c>
      <c r="G6" s="8" t="inlineStr">
        <is>
          <t>Disponible</t>
        </is>
      </c>
      <c r="H6" s="8" t="inlineStr">
        <is>
          <t>COP</t>
        </is>
      </c>
      <c r="I6" s="9" t="n">
        <v>3200000000</v>
      </c>
      <c r="J6" s="10" t="n"/>
      <c r="K6" s="10" t="n"/>
      <c r="L6" s="8" t="inlineStr"/>
      <c r="M6" s="8" t="inlineStr"/>
      <c r="N6" s="11" t="n"/>
      <c r="O6" s="11" t="n"/>
      <c r="P6" s="9" t="n">
        <v>3200000000</v>
      </c>
      <c r="Q6" s="12" t="n"/>
      <c r="R6" s="8" t="inlineStr">
        <is>
          <t>No</t>
        </is>
      </c>
    </row>
    <row r="7">
      <c r="A7" s="8" t="n">
        <v>102</v>
      </c>
      <c r="B7" s="8" t="inlineStr">
        <is>
          <t>Cuenta de ahorros 4410</t>
        </is>
      </c>
      <c r="C7" s="8" t="inlineStr">
        <is>
          <t>Cuenta de ahorros</t>
        </is>
      </c>
      <c r="D7" s="8" t="inlineStr">
        <is>
          <t>Banco Cordillera</t>
        </is>
      </c>
      <c r="E7" s="8" t="inlineStr">
        <is>
          <t>AAA</t>
        </is>
      </c>
      <c r="F7" s="8" t="inlineStr">
        <is>
          <t>Tesorería</t>
        </is>
      </c>
      <c r="G7" s="8" t="inlineStr">
        <is>
          <t>Disponible</t>
        </is>
      </c>
      <c r="H7" s="8" t="inlineStr">
        <is>
          <t>COP</t>
        </is>
      </c>
      <c r="I7" s="9" t="n">
        <v>6500000000</v>
      </c>
      <c r="J7" s="10" t="n"/>
      <c r="K7" s="10" t="n"/>
      <c r="L7" s="8" t="inlineStr"/>
      <c r="M7" s="8" t="inlineStr"/>
      <c r="N7" s="11" t="n"/>
      <c r="O7" s="11" t="n"/>
      <c r="P7" s="9" t="n">
        <v>6500000000</v>
      </c>
      <c r="Q7" s="12" t="n"/>
      <c r="R7" s="8" t="inlineStr">
        <is>
          <t>No</t>
        </is>
      </c>
    </row>
    <row r="8">
      <c r="A8" s="8" t="n">
        <v>103</v>
      </c>
      <c r="B8" s="8" t="inlineStr">
        <is>
          <t>FIC Renta Vista</t>
        </is>
      </c>
      <c r="C8" s="8" t="inlineStr">
        <is>
          <t>FIC vista</t>
        </is>
      </c>
      <c r="D8" s="8" t="inlineStr">
        <is>
          <t>FIC Renta Vista (Fiduciaria Sabana)</t>
        </is>
      </c>
      <c r="E8" s="8" t="inlineStr">
        <is>
          <t>AAA</t>
        </is>
      </c>
      <c r="F8" s="8" t="inlineStr">
        <is>
          <t>Tesorería</t>
        </is>
      </c>
      <c r="G8" s="8" t="inlineStr">
        <is>
          <t>Disponible</t>
        </is>
      </c>
      <c r="H8" s="8" t="inlineStr">
        <is>
          <t>COP</t>
        </is>
      </c>
      <c r="I8" s="9" t="n">
        <v>5800000000</v>
      </c>
      <c r="J8" s="10" t="n"/>
      <c r="K8" s="10" t="n"/>
      <c r="L8" s="8" t="inlineStr"/>
      <c r="M8" s="8" t="inlineStr"/>
      <c r="N8" s="11" t="n"/>
      <c r="O8" s="11" t="n"/>
      <c r="P8" s="9" t="n">
        <v>5800000000</v>
      </c>
      <c r="Q8" s="12" t="n"/>
      <c r="R8" s="8" t="inlineStr">
        <is>
          <t>No</t>
        </is>
      </c>
    </row>
    <row r="9">
      <c r="A9" s="8" t="n">
        <v>201</v>
      </c>
      <c r="B9" s="8" t="inlineStr">
        <is>
          <t>TES TF 5,75% nov-2027</t>
        </is>
      </c>
      <c r="C9" s="8" t="inlineStr">
        <is>
          <t>TES</t>
        </is>
      </c>
      <c r="D9" s="8" t="inlineStr">
        <is>
          <t>Nación - MHCP</t>
        </is>
      </c>
      <c r="E9" s="8" t="inlineStr">
        <is>
          <t>Nación</t>
        </is>
      </c>
      <c r="F9" s="8" t="inlineStr">
        <is>
          <t>Fondo de liquidez</t>
        </is>
      </c>
      <c r="G9" s="8" t="inlineStr">
        <is>
          <t>Disponible para la venta</t>
        </is>
      </c>
      <c r="H9" s="8" t="inlineStr">
        <is>
          <t>COP</t>
        </is>
      </c>
      <c r="I9" s="9" t="n">
        <v>9000000000</v>
      </c>
      <c r="J9" s="10" t="n">
        <v>0.0575</v>
      </c>
      <c r="K9" s="10" t="n"/>
      <c r="L9" s="8" t="inlineStr">
        <is>
          <t>EA</t>
        </is>
      </c>
      <c r="M9" s="8" t="inlineStr">
        <is>
          <t>AV</t>
        </is>
      </c>
      <c r="N9" s="11" t="n">
        <v>44138</v>
      </c>
      <c r="O9" s="11" t="n">
        <v>46694</v>
      </c>
      <c r="P9" s="9" t="n">
        <v>8800252524</v>
      </c>
      <c r="Q9" s="12" t="n"/>
      <c r="R9" s="8" t="inlineStr">
        <is>
          <t>No</t>
        </is>
      </c>
    </row>
    <row r="10">
      <c r="A10" s="8" t="n">
        <v>202</v>
      </c>
      <c r="B10" s="8" t="inlineStr">
        <is>
          <t>TES TF 6,00% abr-2028</t>
        </is>
      </c>
      <c r="C10" s="8" t="inlineStr">
        <is>
          <t>TES</t>
        </is>
      </c>
      <c r="D10" s="8" t="inlineStr">
        <is>
          <t>Nación - MHCP</t>
        </is>
      </c>
      <c r="E10" s="8" t="inlineStr">
        <is>
          <t>Nación</t>
        </is>
      </c>
      <c r="F10" s="8" t="inlineStr">
        <is>
          <t>Tesorería</t>
        </is>
      </c>
      <c r="G10" s="8" t="inlineStr">
        <is>
          <t>Negociable</t>
        </is>
      </c>
      <c r="H10" s="8" t="inlineStr">
        <is>
          <t>COP</t>
        </is>
      </c>
      <c r="I10" s="9" t="n">
        <v>8000000000</v>
      </c>
      <c r="J10" s="10" t="n">
        <v>0.06</v>
      </c>
      <c r="K10" s="10" t="n"/>
      <c r="L10" s="8" t="inlineStr">
        <is>
          <t>EA</t>
        </is>
      </c>
      <c r="M10" s="8" t="inlineStr">
        <is>
          <t>AV</t>
        </is>
      </c>
      <c r="N10" s="11" t="n">
        <v>41027</v>
      </c>
      <c r="O10" s="11" t="n">
        <v>46871</v>
      </c>
      <c r="P10" s="9" t="n">
        <v>7403484583</v>
      </c>
      <c r="Q10" s="12" t="n"/>
      <c r="R10" s="8" t="inlineStr">
        <is>
          <t>No</t>
        </is>
      </c>
    </row>
    <row r="11">
      <c r="A11" s="8" t="n">
        <v>203</v>
      </c>
      <c r="B11" s="8" t="inlineStr">
        <is>
          <t>TES TF 7,75% sep-2030</t>
        </is>
      </c>
      <c r="C11" s="8" t="inlineStr">
        <is>
          <t>TES</t>
        </is>
      </c>
      <c r="D11" s="8" t="inlineStr">
        <is>
          <t>Nación - MHCP</t>
        </is>
      </c>
      <c r="E11" s="8" t="inlineStr">
        <is>
          <t>Nación</t>
        </is>
      </c>
      <c r="F11" s="8" t="inlineStr">
        <is>
          <t>Tesorería</t>
        </is>
      </c>
      <c r="G11" s="8" t="inlineStr">
        <is>
          <t>Negociable</t>
        </is>
      </c>
      <c r="H11" s="8" t="inlineStr">
        <is>
          <t>COP</t>
        </is>
      </c>
      <c r="I11" s="9" t="n">
        <v>7000000000</v>
      </c>
      <c r="J11" s="10" t="n">
        <v>0.0775</v>
      </c>
      <c r="K11" s="10" t="n"/>
      <c r="L11" s="8" t="inlineStr">
        <is>
          <t>EA</t>
        </is>
      </c>
      <c r="M11" s="8" t="inlineStr">
        <is>
          <t>AV</t>
        </is>
      </c>
      <c r="N11" s="11" t="n">
        <v>41900</v>
      </c>
      <c r="O11" s="11" t="n">
        <v>47744</v>
      </c>
      <c r="P11" s="9" t="n">
        <v>6521809350</v>
      </c>
      <c r="Q11" s="12" t="n"/>
      <c r="R11" s="8" t="inlineStr">
        <is>
          <t>No</t>
        </is>
      </c>
    </row>
    <row r="12">
      <c r="A12" s="8" t="n">
        <v>204</v>
      </c>
      <c r="B12" s="8" t="inlineStr">
        <is>
          <t>TES TF 7,00% mar-2031</t>
        </is>
      </c>
      <c r="C12" s="8" t="inlineStr">
        <is>
          <t>TES</t>
        </is>
      </c>
      <c r="D12" s="8" t="inlineStr">
        <is>
          <t>Nación - MHCP</t>
        </is>
      </c>
      <c r="E12" s="8" t="inlineStr">
        <is>
          <t>Nación</t>
        </is>
      </c>
      <c r="F12" s="8" t="inlineStr">
        <is>
          <t>Tesorería</t>
        </is>
      </c>
      <c r="G12" s="8" t="inlineStr">
        <is>
          <t>Disponible para la venta</t>
        </is>
      </c>
      <c r="H12" s="8" t="inlineStr">
        <is>
          <t>COP</t>
        </is>
      </c>
      <c r="I12" s="9" t="n">
        <v>6000000000</v>
      </c>
      <c r="J12" s="10" t="n">
        <v>0.07000000000000001</v>
      </c>
      <c r="K12" s="10" t="n"/>
      <c r="L12" s="8" t="inlineStr">
        <is>
          <t>EA</t>
        </is>
      </c>
      <c r="M12" s="8" t="inlineStr">
        <is>
          <t>AV</t>
        </is>
      </c>
      <c r="N12" s="11" t="n">
        <v>44281</v>
      </c>
      <c r="O12" s="11" t="n">
        <v>47933</v>
      </c>
      <c r="P12" s="9" t="n">
        <v>5084372810</v>
      </c>
      <c r="Q12" s="12" t="n"/>
      <c r="R12" s="8" t="inlineStr">
        <is>
          <t>No</t>
        </is>
      </c>
    </row>
    <row r="13">
      <c r="A13" s="8" t="n">
        <v>205</v>
      </c>
      <c r="B13" s="8" t="inlineStr">
        <is>
          <t>TES TF 7,00% jun-2032</t>
        </is>
      </c>
      <c r="C13" s="8" t="inlineStr">
        <is>
          <t>TES</t>
        </is>
      </c>
      <c r="D13" s="8" t="inlineStr">
        <is>
          <t>Nación - MHCP</t>
        </is>
      </c>
      <c r="E13" s="8" t="inlineStr">
        <is>
          <t>Nación</t>
        </is>
      </c>
      <c r="F13" s="8" t="inlineStr">
        <is>
          <t>Tesorería</t>
        </is>
      </c>
      <c r="G13" s="8" t="inlineStr">
        <is>
          <t>Disponible para la venta</t>
        </is>
      </c>
      <c r="H13" s="8" t="inlineStr">
        <is>
          <t>COP</t>
        </is>
      </c>
      <c r="I13" s="9" t="n">
        <v>5000000000</v>
      </c>
      <c r="J13" s="10" t="n">
        <v>0.07000000000000001</v>
      </c>
      <c r="K13" s="10" t="n"/>
      <c r="L13" s="8" t="inlineStr">
        <is>
          <t>EA</t>
        </is>
      </c>
      <c r="M13" s="8" t="inlineStr">
        <is>
          <t>AV</t>
        </is>
      </c>
      <c r="N13" s="11" t="n">
        <v>42551</v>
      </c>
      <c r="O13" s="11" t="n">
        <v>48395</v>
      </c>
      <c r="P13" s="9" t="n">
        <v>3967742022</v>
      </c>
      <c r="Q13" s="12" t="n"/>
      <c r="R13" s="8" t="inlineStr">
        <is>
          <t>Sí</t>
        </is>
      </c>
    </row>
    <row r="14">
      <c r="A14" s="8" t="n">
        <v>206</v>
      </c>
      <c r="B14" s="8" t="inlineStr">
        <is>
          <t>TES TF 13,25% feb-2033</t>
        </is>
      </c>
      <c r="C14" s="8" t="inlineStr">
        <is>
          <t>TES</t>
        </is>
      </c>
      <c r="D14" s="8" t="inlineStr">
        <is>
          <t>Nación - MHCP</t>
        </is>
      </c>
      <c r="E14" s="8" t="inlineStr">
        <is>
          <t>Nación</t>
        </is>
      </c>
      <c r="F14" s="8" t="inlineStr">
        <is>
          <t>Tesorería</t>
        </is>
      </c>
      <c r="G14" s="8" t="inlineStr">
        <is>
          <t>Negociable</t>
        </is>
      </c>
      <c r="H14" s="8" t="inlineStr">
        <is>
          <t>COP</t>
        </is>
      </c>
      <c r="I14" s="9" t="n">
        <v>4000000000</v>
      </c>
      <c r="J14" s="10" t="n">
        <v>0.1325</v>
      </c>
      <c r="K14" s="10" t="n"/>
      <c r="L14" s="8" t="inlineStr">
        <is>
          <t>EA</t>
        </is>
      </c>
      <c r="M14" s="8" t="inlineStr">
        <is>
          <t>AV</t>
        </is>
      </c>
      <c r="N14" s="11" t="n">
        <v>44966</v>
      </c>
      <c r="O14" s="11" t="n">
        <v>48619</v>
      </c>
      <c r="P14" s="9" t="n">
        <v>4414018115</v>
      </c>
      <c r="Q14" s="12" t="n"/>
      <c r="R14" s="8" t="inlineStr">
        <is>
          <t>No</t>
        </is>
      </c>
    </row>
    <row r="15">
      <c r="A15" s="8" t="n">
        <v>207</v>
      </c>
      <c r="B15" s="8" t="inlineStr">
        <is>
          <t>TES TF 7,25% oct-2034</t>
        </is>
      </c>
      <c r="C15" s="8" t="inlineStr">
        <is>
          <t>TES</t>
        </is>
      </c>
      <c r="D15" s="8" t="inlineStr">
        <is>
          <t>Nación - MHCP</t>
        </is>
      </c>
      <c r="E15" s="8" t="inlineStr">
        <is>
          <t>Nación</t>
        </is>
      </c>
      <c r="F15" s="8" t="inlineStr">
        <is>
          <t>Tesorería</t>
        </is>
      </c>
      <c r="G15" s="8" t="inlineStr">
        <is>
          <t>Negociable</t>
        </is>
      </c>
      <c r="H15" s="8" t="inlineStr">
        <is>
          <t>COP</t>
        </is>
      </c>
      <c r="I15" s="9" t="n">
        <v>6000000000</v>
      </c>
      <c r="J15" s="10" t="n">
        <v>0.0725</v>
      </c>
      <c r="K15" s="10" t="n"/>
      <c r="L15" s="8" t="inlineStr">
        <is>
          <t>EA</t>
        </is>
      </c>
      <c r="M15" s="8" t="inlineStr">
        <is>
          <t>AV</t>
        </is>
      </c>
      <c r="N15" s="11" t="n">
        <v>43756</v>
      </c>
      <c r="O15" s="11" t="n">
        <v>49235</v>
      </c>
      <c r="P15" s="9" t="n">
        <v>4826801854</v>
      </c>
      <c r="Q15" s="12" t="n"/>
      <c r="R15" s="8" t="inlineStr">
        <is>
          <t>No</t>
        </is>
      </c>
    </row>
    <row r="16">
      <c r="A16" s="8" t="n">
        <v>208</v>
      </c>
      <c r="B16" s="8" t="inlineStr">
        <is>
          <t>TES TF 6,25% jul-2036</t>
        </is>
      </c>
      <c r="C16" s="8" t="inlineStr">
        <is>
          <t>TES</t>
        </is>
      </c>
      <c r="D16" s="8" t="inlineStr">
        <is>
          <t>Nación - MHCP</t>
        </is>
      </c>
      <c r="E16" s="8" t="inlineStr">
        <is>
          <t>Nación</t>
        </is>
      </c>
      <c r="F16" s="8" t="inlineStr">
        <is>
          <t>Tesorería</t>
        </is>
      </c>
      <c r="G16" s="8" t="inlineStr">
        <is>
          <t>Negociable</t>
        </is>
      </c>
      <c r="H16" s="8" t="inlineStr">
        <is>
          <t>COP</t>
        </is>
      </c>
      <c r="I16" s="9" t="n">
        <v>3000000000</v>
      </c>
      <c r="J16" s="10" t="n">
        <v>0.0625</v>
      </c>
      <c r="K16" s="10" t="n"/>
      <c r="L16" s="8" t="inlineStr">
        <is>
          <t>EA</t>
        </is>
      </c>
      <c r="M16" s="8" t="inlineStr">
        <is>
          <t>AV</t>
        </is>
      </c>
      <c r="N16" s="11" t="n">
        <v>44386</v>
      </c>
      <c r="O16" s="11" t="n">
        <v>49865</v>
      </c>
      <c r="P16" s="9" t="n">
        <v>1999255083</v>
      </c>
      <c r="Q16" s="12" t="n"/>
      <c r="R16" s="8" t="inlineStr">
        <is>
          <t>No</t>
        </is>
      </c>
    </row>
    <row r="17">
      <c r="A17" s="8" t="n">
        <v>301</v>
      </c>
      <c r="B17" s="8" t="inlineStr">
        <is>
          <t>CDT Banco Cordillera 10,90% TV</t>
        </is>
      </c>
      <c r="C17" s="8" t="inlineStr">
        <is>
          <t>CDT</t>
        </is>
      </c>
      <c r="D17" s="8" t="inlineStr">
        <is>
          <t>Banco Cordillera S.A.</t>
        </is>
      </c>
      <c r="E17" s="8" t="inlineStr">
        <is>
          <t>AAA</t>
        </is>
      </c>
      <c r="F17" s="8" t="inlineStr">
        <is>
          <t>Tesorería</t>
        </is>
      </c>
      <c r="G17" s="8" t="inlineStr">
        <is>
          <t>Al vencimiento</t>
        </is>
      </c>
      <c r="H17" s="8" t="inlineStr">
        <is>
          <t>COP</t>
        </is>
      </c>
      <c r="I17" s="9" t="n">
        <v>4500000000</v>
      </c>
      <c r="J17" s="10" t="n">
        <v>0.109</v>
      </c>
      <c r="K17" s="10" t="n"/>
      <c r="L17" s="8" t="inlineStr">
        <is>
          <t>EA</t>
        </is>
      </c>
      <c r="M17" s="8" t="inlineStr">
        <is>
          <t>TV</t>
        </is>
      </c>
      <c r="N17" s="11" t="n">
        <v>45823</v>
      </c>
      <c r="O17" s="11" t="n">
        <v>46553</v>
      </c>
      <c r="P17" s="9" t="n">
        <v>4508236661</v>
      </c>
      <c r="Q17" s="12" t="n"/>
      <c r="R17" s="8" t="inlineStr">
        <is>
          <t>No</t>
        </is>
      </c>
    </row>
    <row r="18">
      <c r="A18" s="8" t="n">
        <v>302</v>
      </c>
      <c r="B18" s="8" t="inlineStr">
        <is>
          <t>CDT Banco Cordillera 11,40% SV</t>
        </is>
      </c>
      <c r="C18" s="8" t="inlineStr">
        <is>
          <t>CDT</t>
        </is>
      </c>
      <c r="D18" s="8" t="inlineStr">
        <is>
          <t>BANCO CORDILLERA</t>
        </is>
      </c>
      <c r="E18" s="8" t="inlineStr">
        <is>
          <t>AAA</t>
        </is>
      </c>
      <c r="F18" s="8" t="inlineStr">
        <is>
          <t>Tesorería</t>
        </is>
      </c>
      <c r="G18" s="8" t="inlineStr">
        <is>
          <t>Disponible para la venta</t>
        </is>
      </c>
      <c r="H18" s="8" t="inlineStr">
        <is>
          <t>COP</t>
        </is>
      </c>
      <c r="I18" s="9" t="n">
        <v>3500000000</v>
      </c>
      <c r="J18" s="10" t="n">
        <v>0.114</v>
      </c>
      <c r="K18" s="10" t="n"/>
      <c r="L18" s="8" t="inlineStr">
        <is>
          <t>EA</t>
        </is>
      </c>
      <c r="M18" s="8" t="inlineStr">
        <is>
          <t>SV</t>
        </is>
      </c>
      <c r="N18" s="11" t="n">
        <v>46101</v>
      </c>
      <c r="O18" s="11" t="n">
        <v>46832</v>
      </c>
      <c r="P18" s="9" t="n">
        <v>3583109717</v>
      </c>
      <c r="Q18" s="12" t="n"/>
      <c r="R18" s="8" t="inlineStr">
        <is>
          <t>No</t>
        </is>
      </c>
    </row>
    <row r="19">
      <c r="A19" s="8" t="n">
        <v>303</v>
      </c>
      <c r="B19" s="8" t="inlineStr">
        <is>
          <t>CDT Banco Cordillera 12,10% AV</t>
        </is>
      </c>
      <c r="C19" s="8" t="inlineStr">
        <is>
          <t>CDT</t>
        </is>
      </c>
      <c r="D19" s="8" t="inlineStr">
        <is>
          <t>Bco. Cordillera</t>
        </is>
      </c>
      <c r="E19" s="8" t="inlineStr">
        <is>
          <t>AAA</t>
        </is>
      </c>
      <c r="F19" s="8" t="inlineStr">
        <is>
          <t>Tesorería</t>
        </is>
      </c>
      <c r="G19" s="8" t="inlineStr">
        <is>
          <t>Disponible para la venta</t>
        </is>
      </c>
      <c r="H19" s="8" t="inlineStr">
        <is>
          <t>COP</t>
        </is>
      </c>
      <c r="I19" s="9" t="n">
        <v>3000000000</v>
      </c>
      <c r="J19" s="10" t="n">
        <v>12.1</v>
      </c>
      <c r="K19" s="10" t="n"/>
      <c r="L19" s="8" t="inlineStr">
        <is>
          <t>EA</t>
        </is>
      </c>
      <c r="M19" s="8" t="inlineStr">
        <is>
          <t>AV</t>
        </is>
      </c>
      <c r="N19" s="11" t="n">
        <v>46006</v>
      </c>
      <c r="O19" s="13" t="inlineStr">
        <is>
          <t>15/12/2027</t>
        </is>
      </c>
      <c r="P19" s="9" t="n">
        <v>3203770361</v>
      </c>
      <c r="Q19" s="12" t="n"/>
      <c r="R19" s="8" t="inlineStr">
        <is>
          <t>No</t>
        </is>
      </c>
    </row>
    <row r="20">
      <c r="A20" s="8" t="n">
        <v>304</v>
      </c>
      <c r="B20" s="8" t="inlineStr">
        <is>
          <t>CDT IBR Banco Altiplano IBR+1,90% TV</t>
        </is>
      </c>
      <c r="C20" s="8" t="inlineStr">
        <is>
          <t>CDT IBR</t>
        </is>
      </c>
      <c r="D20" s="8" t="inlineStr">
        <is>
          <t>Banco Altiplano</t>
        </is>
      </c>
      <c r="E20" s="8" t="inlineStr">
        <is>
          <t>AAA</t>
        </is>
      </c>
      <c r="F20" s="8" t="inlineStr">
        <is>
          <t>Tesorería</t>
        </is>
      </c>
      <c r="G20" s="8" t="inlineStr">
        <is>
          <t>Disponible para la venta</t>
        </is>
      </c>
      <c r="H20" s="8" t="inlineStr">
        <is>
          <t>COP</t>
        </is>
      </c>
      <c r="I20" s="9" t="n">
        <v>4000000000</v>
      </c>
      <c r="J20" s="10" t="n"/>
      <c r="K20" s="10" t="n">
        <v>0.019</v>
      </c>
      <c r="L20" s="8" t="inlineStr">
        <is>
          <t>EA</t>
        </is>
      </c>
      <c r="M20" s="8" t="inlineStr">
        <is>
          <t>TV</t>
        </is>
      </c>
      <c r="N20" s="11" t="n">
        <v>45910</v>
      </c>
      <c r="O20" s="11" t="n">
        <v>47006</v>
      </c>
      <c r="P20" s="9" t="n">
        <v>4172981296</v>
      </c>
      <c r="Q20" s="12" t="n"/>
      <c r="R20" s="8" t="inlineStr">
        <is>
          <t>No</t>
        </is>
      </c>
    </row>
    <row r="21">
      <c r="A21" s="8" t="n">
        <v>305</v>
      </c>
      <c r="B21" s="8" t="inlineStr">
        <is>
          <t>CDT IBR Banco Guayacán IBR+2,60% TV</t>
        </is>
      </c>
      <c r="C21" s="8" t="inlineStr">
        <is>
          <t>CDT IBR</t>
        </is>
      </c>
      <c r="D21" s="8" t="inlineStr">
        <is>
          <t>Banco Guayacán</t>
        </is>
      </c>
      <c r="E21" s="8" t="inlineStr">
        <is>
          <t>AA+</t>
        </is>
      </c>
      <c r="F21" s="8" t="inlineStr">
        <is>
          <t>Tesorería</t>
        </is>
      </c>
      <c r="G21" s="8" t="inlineStr">
        <is>
          <t>Disponible para la venta</t>
        </is>
      </c>
      <c r="H21" s="8" t="inlineStr">
        <is>
          <t>COP</t>
        </is>
      </c>
      <c r="I21" s="9" t="n">
        <v>4000000000</v>
      </c>
      <c r="J21" s="10" t="n"/>
      <c r="K21" s="10" t="n">
        <v>0.026</v>
      </c>
      <c r="L21" s="8" t="inlineStr">
        <is>
          <t>EA</t>
        </is>
      </c>
      <c r="M21" s="8" t="inlineStr">
        <is>
          <t>TV</t>
        </is>
      </c>
      <c r="N21" s="11" t="n">
        <v>45966</v>
      </c>
      <c r="O21" s="11" t="n">
        <v>46696</v>
      </c>
      <c r="P21" s="9" t="n">
        <v>4073672643</v>
      </c>
      <c r="Q21" s="12" t="n"/>
      <c r="R21" s="8" t="inlineStr">
        <is>
          <t>No</t>
        </is>
      </c>
    </row>
    <row r="22">
      <c r="A22" s="8" t="n">
        <v>306</v>
      </c>
      <c r="B22" s="8" t="inlineStr">
        <is>
          <t>CDT Financiera Río Claro 12,80% SV</t>
        </is>
      </c>
      <c r="C22" s="8" t="inlineStr">
        <is>
          <t>CDT</t>
        </is>
      </c>
      <c r="D22" s="8" t="inlineStr">
        <is>
          <t>Financiera Río Claro</t>
        </is>
      </c>
      <c r="E22" s="8" t="inlineStr">
        <is>
          <t>AA</t>
        </is>
      </c>
      <c r="F22" s="8" t="inlineStr">
        <is>
          <t>Tesorería</t>
        </is>
      </c>
      <c r="G22" s="8" t="inlineStr">
        <is>
          <t>Al vencimiento</t>
        </is>
      </c>
      <c r="H22" s="8" t="inlineStr">
        <is>
          <t>COP</t>
        </is>
      </c>
      <c r="I22" s="9" t="n">
        <v>3000000000</v>
      </c>
      <c r="J22" s="10" t="n">
        <v>0.128</v>
      </c>
      <c r="K22" s="10" t="n"/>
      <c r="L22" s="8" t="inlineStr">
        <is>
          <t>EA</t>
        </is>
      </c>
      <c r="M22" s="8" t="inlineStr">
        <is>
          <t>SV</t>
        </is>
      </c>
      <c r="N22" s="11" t="n">
        <v>45952</v>
      </c>
      <c r="O22" s="11" t="n">
        <v>46499</v>
      </c>
      <c r="P22" s="9" t="n">
        <v>3108576152</v>
      </c>
      <c r="Q22" s="12" t="n"/>
      <c r="R22" s="8" t="inlineStr">
        <is>
          <t>No</t>
        </is>
      </c>
    </row>
    <row r="23">
      <c r="A23" s="8" t="n">
        <v>307</v>
      </c>
      <c r="B23" s="8" t="inlineStr">
        <is>
          <t>CDT Banco Guayacán 11,90% PV</t>
        </is>
      </c>
      <c r="C23" s="8" t="inlineStr">
        <is>
          <t>CDT</t>
        </is>
      </c>
      <c r="D23" s="8" t="inlineStr">
        <is>
          <t>Banco Guayacán</t>
        </is>
      </c>
      <c r="E23" s="8" t="inlineStr">
        <is>
          <t>AA+</t>
        </is>
      </c>
      <c r="F23" s="8" t="inlineStr">
        <is>
          <t>Tesorería</t>
        </is>
      </c>
      <c r="G23" s="8" t="inlineStr">
        <is>
          <t>Al vencimiento</t>
        </is>
      </c>
      <c r="H23" s="8" t="inlineStr">
        <is>
          <t>COP</t>
        </is>
      </c>
      <c r="I23" s="9" t="n">
        <v>2500000000</v>
      </c>
      <c r="J23" s="10" t="n">
        <v>0.119</v>
      </c>
      <c r="K23" s="10" t="n"/>
      <c r="L23" s="8" t="inlineStr">
        <is>
          <t>EA</t>
        </is>
      </c>
      <c r="M23" s="8" t="inlineStr">
        <is>
          <t>PV</t>
        </is>
      </c>
      <c r="N23" s="11" t="n">
        <v>46091</v>
      </c>
      <c r="O23" s="11" t="n">
        <v>46456</v>
      </c>
      <c r="P23" s="9" t="n">
        <v>2604350268</v>
      </c>
      <c r="Q23" s="12" t="n"/>
      <c r="R23" s="8" t="inlineStr">
        <is>
          <t>No</t>
        </is>
      </c>
    </row>
    <row r="24">
      <c r="A24" s="8" t="n">
        <v>308</v>
      </c>
      <c r="B24" s="8" t="inlineStr">
        <is>
          <t>CDT Banco Altiplano 11,60% PV</t>
        </is>
      </c>
      <c r="C24" s="8" t="inlineStr">
        <is>
          <t>CDT</t>
        </is>
      </c>
      <c r="D24" s="8" t="inlineStr">
        <is>
          <t>Banco Altiplano</t>
        </is>
      </c>
      <c r="E24" s="8" t="inlineStr">
        <is>
          <t>F1+</t>
        </is>
      </c>
      <c r="F24" s="8" t="inlineStr">
        <is>
          <t>Tesorería</t>
        </is>
      </c>
      <c r="G24" s="8" t="inlineStr">
        <is>
          <t>Al vencimiento</t>
        </is>
      </c>
      <c r="H24" s="8" t="inlineStr">
        <is>
          <t>COP</t>
        </is>
      </c>
      <c r="I24" s="9" t="n">
        <v>2500000000</v>
      </c>
      <c r="J24" s="10" t="n">
        <v>0.116</v>
      </c>
      <c r="K24" s="10" t="n"/>
      <c r="L24" s="8" t="inlineStr">
        <is>
          <t>EA</t>
        </is>
      </c>
      <c r="M24" s="8" t="inlineStr">
        <is>
          <t>PV</t>
        </is>
      </c>
      <c r="N24" s="11" t="n">
        <v>46174</v>
      </c>
      <c r="O24" s="11" t="n">
        <v>46357</v>
      </c>
      <c r="P24" s="9" t="n">
        <v>2557355341</v>
      </c>
      <c r="Q24" s="12" t="n"/>
      <c r="R24" s="8" t="inlineStr">
        <is>
          <t>No</t>
        </is>
      </c>
    </row>
    <row r="25">
      <c r="A25" s="8" t="n">
        <v>309</v>
      </c>
      <c r="B25" s="8" t="inlineStr">
        <is>
          <t>CDT Leasing Nevado 12,40% TV</t>
        </is>
      </c>
      <c r="C25" s="8" t="inlineStr">
        <is>
          <t>CDT</t>
        </is>
      </c>
      <c r="D25" s="8" t="inlineStr">
        <is>
          <t>Leasing Nevado</t>
        </is>
      </c>
      <c r="E25" s="8" t="inlineStr">
        <is>
          <t>AA</t>
        </is>
      </c>
      <c r="F25" s="8" t="inlineStr">
        <is>
          <t>Tesorería</t>
        </is>
      </c>
      <c r="G25" s="8" t="inlineStr">
        <is>
          <t>Disponible para la venta</t>
        </is>
      </c>
      <c r="H25" s="8" t="inlineStr">
        <is>
          <t>COP</t>
        </is>
      </c>
      <c r="I25" s="9" t="n">
        <v>2000000000</v>
      </c>
      <c r="J25" s="10" t="n">
        <v>0.124</v>
      </c>
      <c r="K25" s="10" t="n"/>
      <c r="L25" s="8" t="inlineStr">
        <is>
          <t>EA</t>
        </is>
      </c>
      <c r="M25" s="8" t="inlineStr">
        <is>
          <t>TV</t>
        </is>
      </c>
      <c r="N25" s="11" t="n">
        <v>45930</v>
      </c>
      <c r="O25" s="11" t="n">
        <v>46660</v>
      </c>
      <c r="P25" s="9" t="n">
        <v>1994537761</v>
      </c>
      <c r="Q25" s="12" t="n"/>
      <c r="R25" s="8" t="inlineStr">
        <is>
          <t>No</t>
        </is>
      </c>
    </row>
    <row r="26">
      <c r="A26" s="8" t="n">
        <v>310</v>
      </c>
      <c r="B26" s="8" t="inlineStr">
        <is>
          <t>CDT Leasing Nevado 10,20% PV</t>
        </is>
      </c>
      <c r="C26" s="8" t="inlineStr">
        <is>
          <t>CDT</t>
        </is>
      </c>
      <c r="D26" s="8" t="inlineStr">
        <is>
          <t>Leasing Nevado S.A.</t>
        </is>
      </c>
      <c r="E26" s="8" t="inlineStr">
        <is>
          <t>AA</t>
        </is>
      </c>
      <c r="F26" s="8" t="inlineStr">
        <is>
          <t>Tesorería</t>
        </is>
      </c>
      <c r="G26" s="8" t="inlineStr">
        <is>
          <t>Al vencimiento</t>
        </is>
      </c>
      <c r="H26" s="8" t="inlineStr">
        <is>
          <t>COP</t>
        </is>
      </c>
      <c r="I26" s="9" t="n">
        <v>1500000000</v>
      </c>
      <c r="J26" s="10" t="n">
        <v>0.102</v>
      </c>
      <c r="K26" s="10" t="n"/>
      <c r="L26" s="8" t="inlineStr">
        <is>
          <t>EA</t>
        </is>
      </c>
      <c r="M26" s="8" t="inlineStr">
        <is>
          <t>PV</t>
        </is>
      </c>
      <c r="N26" s="11" t="n">
        <v>45915</v>
      </c>
      <c r="O26" s="11" t="n">
        <v>46280</v>
      </c>
      <c r="P26" s="9" t="n">
        <v>1640159666</v>
      </c>
      <c r="Q26" s="12" t="n"/>
      <c r="R26" s="8" t="inlineStr">
        <is>
          <t>No</t>
        </is>
      </c>
    </row>
    <row r="27">
      <c r="A27" s="8" t="n">
        <v>401</v>
      </c>
      <c r="B27" s="8" t="inlineStr">
        <is>
          <t>Bono Energía del Norte 11,50% TV 2031</t>
        </is>
      </c>
      <c r="C27" s="8" t="inlineStr">
        <is>
          <t>Bono ordinario</t>
        </is>
      </c>
      <c r="D27" s="8" t="inlineStr">
        <is>
          <t>Energía del Norte S.A. E.S.P.</t>
        </is>
      </c>
      <c r="E27" s="8" t="inlineStr">
        <is>
          <t>AAA</t>
        </is>
      </c>
      <c r="F27" s="8" t="inlineStr">
        <is>
          <t>Tesorería</t>
        </is>
      </c>
      <c r="G27" s="8" t="inlineStr">
        <is>
          <t>Disponible para la venta</t>
        </is>
      </c>
      <c r="H27" s="8" t="inlineStr">
        <is>
          <t>COP</t>
        </is>
      </c>
      <c r="I27" s="9" t="n">
        <v>4000000000</v>
      </c>
      <c r="J27" s="10" t="n">
        <v>0.115</v>
      </c>
      <c r="K27" s="10" t="n"/>
      <c r="L27" s="8" t="inlineStr">
        <is>
          <t>EA</t>
        </is>
      </c>
      <c r="M27" s="8" t="inlineStr">
        <is>
          <t>TV</t>
        </is>
      </c>
      <c r="N27" s="11" t="n">
        <v>45427</v>
      </c>
      <c r="O27" s="11" t="n">
        <v>47983</v>
      </c>
      <c r="P27" s="9" t="n">
        <v>3766678447</v>
      </c>
      <c r="Q27" s="12" t="n"/>
      <c r="R27" s="8" t="inlineStr">
        <is>
          <t>No</t>
        </is>
      </c>
    </row>
    <row r="28">
      <c r="A28" s="8" t="n">
        <v>402</v>
      </c>
      <c r="B28" s="8" t="inlineStr">
        <is>
          <t>Bono Corporación Sabana 12,20% SV 2029</t>
        </is>
      </c>
      <c r="C28" s="8" t="inlineStr">
        <is>
          <t>Bono ordinario</t>
        </is>
      </c>
      <c r="D28" s="8" t="inlineStr">
        <is>
          <t>Corporación Sabana</t>
        </is>
      </c>
      <c r="E28" s="8" t="inlineStr">
        <is>
          <t>AA+</t>
        </is>
      </c>
      <c r="F28" s="8" t="inlineStr">
        <is>
          <t>Tesorería</t>
        </is>
      </c>
      <c r="G28" s="8" t="inlineStr">
        <is>
          <t>Disponible para la venta</t>
        </is>
      </c>
      <c r="H28" s="8" t="inlineStr">
        <is>
          <t>COP</t>
        </is>
      </c>
      <c r="I28" s="9" t="n">
        <v>3500000000</v>
      </c>
      <c r="J28" s="10" t="n">
        <v>0.122</v>
      </c>
      <c r="K28" s="10" t="n"/>
      <c r="L28" s="8" t="inlineStr">
        <is>
          <t>EA</t>
        </is>
      </c>
      <c r="M28" s="8" t="inlineStr">
        <is>
          <t>SV</t>
        </is>
      </c>
      <c r="N28" s="11" t="n">
        <v>45534</v>
      </c>
      <c r="O28" s="11" t="n">
        <v>47360</v>
      </c>
      <c r="P28" s="9" t="n">
        <v>3346930741</v>
      </c>
      <c r="Q28" s="12" t="n"/>
      <c r="R28" s="8" t="inlineStr">
        <is>
          <t>No</t>
        </is>
      </c>
    </row>
    <row r="29">
      <c r="A29" s="8" t="n">
        <v>403</v>
      </c>
      <c r="B29" s="8" t="inlineStr">
        <is>
          <t>Bono Constructora Ceiba 14,80% TV 2028</t>
        </is>
      </c>
      <c r="C29" s="8" t="inlineStr">
        <is>
          <t>Bono ordinario</t>
        </is>
      </c>
      <c r="D29" s="8" t="inlineStr">
        <is>
          <t>Constructora Ceiba S.A.</t>
        </is>
      </c>
      <c r="E29" s="8" t="inlineStr">
        <is>
          <t>A+</t>
        </is>
      </c>
      <c r="F29" s="8" t="inlineStr">
        <is>
          <t>Tesorería</t>
        </is>
      </c>
      <c r="G29" s="8" t="inlineStr">
        <is>
          <t>Disponible para la venta</t>
        </is>
      </c>
      <c r="H29" s="8" t="inlineStr">
        <is>
          <t>COP</t>
        </is>
      </c>
      <c r="I29" s="9" t="n">
        <v>2500000000</v>
      </c>
      <c r="J29" s="10" t="n">
        <v>0.148</v>
      </c>
      <c r="K29" s="10" t="n"/>
      <c r="L29" s="8" t="inlineStr">
        <is>
          <t>EA</t>
        </is>
      </c>
      <c r="M29" s="8" t="inlineStr">
        <is>
          <t>TV</t>
        </is>
      </c>
      <c r="N29" s="11" t="n">
        <v>45991</v>
      </c>
      <c r="O29" s="11" t="n">
        <v>47087</v>
      </c>
      <c r="P29" s="9" t="n">
        <v>2449485764</v>
      </c>
      <c r="Q29" s="12" t="n"/>
      <c r="R29" s="8" t="inlineStr">
        <is>
          <t>No</t>
        </is>
      </c>
    </row>
    <row r="30">
      <c r="A30" s="8" t="n">
        <v>501</v>
      </c>
      <c r="B30" s="8" t="inlineStr">
        <is>
          <t>ETF acciones Colombia</t>
        </is>
      </c>
      <c r="C30" s="8" t="inlineStr">
        <is>
          <t>ETF acciones locales</t>
        </is>
      </c>
      <c r="D30" s="8" t="inlineStr">
        <is>
          <t>ETF Índice Local</t>
        </is>
      </c>
      <c r="E30" s="8" t="inlineStr"/>
      <c r="F30" s="8" t="inlineStr">
        <is>
          <t>Tesorería</t>
        </is>
      </c>
      <c r="G30" s="8" t="inlineStr">
        <is>
          <t>Negociable</t>
        </is>
      </c>
      <c r="H30" s="8" t="inlineStr">
        <is>
          <t>COP</t>
        </is>
      </c>
      <c r="I30" s="9" t="n">
        <v>1500000</v>
      </c>
      <c r="J30" s="10" t="n"/>
      <c r="K30" s="10" t="n"/>
      <c r="L30" s="8" t="inlineStr"/>
      <c r="M30" s="8" t="inlineStr"/>
      <c r="N30" s="11" t="n"/>
      <c r="O30" s="11" t="n"/>
      <c r="P30" s="9" t="n">
        <v>3218596770</v>
      </c>
      <c r="Q30" s="12" t="n">
        <v>1</v>
      </c>
      <c r="R30" s="8" t="inlineStr">
        <is>
          <t>No</t>
        </is>
      </c>
    </row>
    <row r="31">
      <c r="A31" s="8" t="n">
        <v>601</v>
      </c>
      <c r="B31" s="8" t="inlineStr">
        <is>
          <t>Cuenta de compensación USD</t>
        </is>
      </c>
      <c r="C31" s="8" t="inlineStr">
        <is>
          <t>Depósito en USD</t>
        </is>
      </c>
      <c r="D31" s="8" t="inlineStr">
        <is>
          <t>Banco Guayacán</t>
        </is>
      </c>
      <c r="E31" s="8" t="inlineStr">
        <is>
          <t>AA+</t>
        </is>
      </c>
      <c r="F31" s="8" t="inlineStr">
        <is>
          <t>Tesorería</t>
        </is>
      </c>
      <c r="G31" s="8" t="inlineStr">
        <is>
          <t>Disponible</t>
        </is>
      </c>
      <c r="H31" s="8" t="inlineStr">
        <is>
          <t>USD</t>
        </is>
      </c>
      <c r="I31" s="9" t="n">
        <v>950000</v>
      </c>
      <c r="J31" s="10" t="n"/>
      <c r="K31" s="10" t="n"/>
      <c r="L31" s="8" t="inlineStr"/>
      <c r="M31" s="8" t="inlineStr"/>
      <c r="N31" s="11" t="n"/>
      <c r="O31" s="11" t="n"/>
      <c r="P31" s="9" t="n">
        <v>3086286550</v>
      </c>
      <c r="Q31" s="12" t="n"/>
      <c r="R31" s="8" t="inlineStr">
        <is>
          <t>No</t>
        </is>
      </c>
    </row>
    <row r="33">
      <c r="A33" s="14" t="inlineStr"/>
      <c r="B33" s="14" t="inlineStr">
        <is>
          <t>TOTAL</t>
        </is>
      </c>
      <c r="C33" s="14" t="inlineStr"/>
      <c r="D33" s="14" t="inlineStr"/>
      <c r="E33" s="14" t="inlineStr"/>
      <c r="F33" s="14" t="inlineStr"/>
      <c r="G33" s="14" t="inlineStr"/>
      <c r="H33" s="14" t="inlineStr"/>
      <c r="I33" s="15">
        <f>SUM(I6:I31)</f>
        <v/>
      </c>
      <c r="J33" s="16" t="inlineStr"/>
      <c r="K33" s="16" t="inlineStr"/>
      <c r="L33" s="14" t="inlineStr"/>
      <c r="M33" s="14" t="inlineStr"/>
      <c r="N33" s="17" t="inlineStr"/>
      <c r="O33" s="17" t="inlineStr"/>
      <c r="P33" s="15">
        <f>SUM(P6:P31)</f>
        <v/>
      </c>
      <c r="Q33" s="18" t="inlineStr"/>
      <c r="R33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8" customWidth="1" min="4" max="4"/>
  </cols>
  <sheetData>
    <row r="1">
      <c r="A1" s="1" t="inlineStr">
        <is>
          <t>COOPERATIVA FINANCIERA EJEMPLO</t>
        </is>
      </c>
    </row>
    <row r="2">
      <c r="A2" s="2" t="inlineStr">
        <is>
          <t>Flujos contractuales proyectados (próximos 120 días)</t>
        </is>
      </c>
    </row>
    <row r="4" ht="30" customHeight="1">
      <c r="A4" s="7" t="inlineStr">
        <is>
          <t>Fecha</t>
        </is>
      </c>
      <c r="B4" s="7" t="inlineStr">
        <is>
          <t>Concepto</t>
        </is>
      </c>
      <c r="C4" s="7" t="inlineStr">
        <is>
          <t>Sentido</t>
        </is>
      </c>
      <c r="D4" s="7" t="inlineStr">
        <is>
          <t>Monto (COP)</t>
        </is>
      </c>
    </row>
    <row r="5">
      <c r="A5" s="11" t="n">
        <v>46266</v>
      </c>
      <c r="B5" s="8" t="inlineStr">
        <is>
          <t>Vencimiento de CDAT</t>
        </is>
      </c>
      <c r="C5" s="8" t="inlineStr">
        <is>
          <t>Salida</t>
        </is>
      </c>
      <c r="D5" s="9" t="n">
        <v>2350630886</v>
      </c>
    </row>
    <row r="6">
      <c r="A6" s="11" t="n">
        <v>46267</v>
      </c>
      <c r="B6" s="8" t="inlineStr">
        <is>
          <t>Vencimiento de CDAT</t>
        </is>
      </c>
      <c r="C6" s="8" t="inlineStr">
        <is>
          <t>Salida</t>
        </is>
      </c>
      <c r="D6" s="9" t="n">
        <v>2133975242</v>
      </c>
    </row>
    <row r="7">
      <c r="A7" s="11" t="n">
        <v>46268</v>
      </c>
      <c r="B7" s="8" t="inlineStr">
        <is>
          <t>Vencimiento de CDAT</t>
        </is>
      </c>
      <c r="C7" s="8" t="inlineStr">
        <is>
          <t>Salida</t>
        </is>
      </c>
      <c r="D7" s="9" t="n">
        <v>1429540816</v>
      </c>
    </row>
    <row r="8">
      <c r="A8" s="11" t="n">
        <v>46268</v>
      </c>
      <c r="B8" s="8" t="inlineStr">
        <is>
          <t>Desembolsos de crédito comprometidos</t>
        </is>
      </c>
      <c r="C8" s="8" t="inlineStr">
        <is>
          <t>Salida</t>
        </is>
      </c>
      <c r="D8" s="9" t="n">
        <v>4150494278</v>
      </c>
    </row>
    <row r="9">
      <c r="A9" s="11" t="n">
        <v>46268</v>
      </c>
      <c r="B9" s="8" t="inlineStr">
        <is>
          <t>Recaudo de cartera</t>
        </is>
      </c>
      <c r="C9" s="8" t="inlineStr">
        <is>
          <t>Entrada</t>
        </is>
      </c>
      <c r="D9" s="9" t="n">
        <v>6450083147</v>
      </c>
    </row>
    <row r="10">
      <c r="A10" s="11" t="n">
        <v>46269</v>
      </c>
      <c r="B10" s="8" t="inlineStr">
        <is>
          <t>Vencimiento de CDAT</t>
        </is>
      </c>
      <c r="C10" s="8" t="inlineStr">
        <is>
          <t>Salida</t>
        </is>
      </c>
      <c r="D10" s="9" t="n">
        <v>2225333693</v>
      </c>
    </row>
    <row r="11">
      <c r="A11" s="11" t="n">
        <v>46272</v>
      </c>
      <c r="B11" s="8" t="inlineStr">
        <is>
          <t>Vencimiento de CDAT</t>
        </is>
      </c>
      <c r="C11" s="8" t="inlineStr">
        <is>
          <t>Salida</t>
        </is>
      </c>
      <c r="D11" s="9" t="n">
        <v>2197662108</v>
      </c>
    </row>
    <row r="12">
      <c r="A12" s="11" t="n">
        <v>46273</v>
      </c>
      <c r="B12" s="8" t="inlineStr">
        <is>
          <t>Vencimiento de CDAT</t>
        </is>
      </c>
      <c r="C12" s="8" t="inlineStr">
        <is>
          <t>Salida</t>
        </is>
      </c>
      <c r="D12" s="9" t="n">
        <v>1720750651</v>
      </c>
    </row>
    <row r="13">
      <c r="A13" s="11" t="n">
        <v>46274</v>
      </c>
      <c r="B13" s="8" t="inlineStr">
        <is>
          <t>Vencimiento de CDAT</t>
        </is>
      </c>
      <c r="C13" s="8" t="inlineStr">
        <is>
          <t>Salida</t>
        </is>
      </c>
      <c r="D13" s="9" t="n">
        <v>2064107637</v>
      </c>
    </row>
    <row r="14">
      <c r="A14" s="11" t="n">
        <v>46275</v>
      </c>
      <c r="B14" s="8" t="inlineStr">
        <is>
          <t>Vencimiento de CDAT</t>
        </is>
      </c>
      <c r="C14" s="8" t="inlineStr">
        <is>
          <t>Salida</t>
        </is>
      </c>
      <c r="D14" s="9" t="n">
        <v>2329382830</v>
      </c>
    </row>
    <row r="15">
      <c r="A15" s="11" t="n">
        <v>46275</v>
      </c>
      <c r="B15" s="8" t="inlineStr">
        <is>
          <t>Desembolsos de crédito comprometidos</t>
        </is>
      </c>
      <c r="C15" s="8" t="inlineStr">
        <is>
          <t>Salida</t>
        </is>
      </c>
      <c r="D15" s="9" t="n">
        <v>4079539192</v>
      </c>
    </row>
    <row r="16">
      <c r="A16" s="11" t="n">
        <v>46275</v>
      </c>
      <c r="B16" s="8" t="inlineStr">
        <is>
          <t>Recaudo de cartera</t>
        </is>
      </c>
      <c r="C16" s="8" t="inlineStr">
        <is>
          <t>Entrada</t>
        </is>
      </c>
      <c r="D16" s="9" t="n">
        <v>6645956684</v>
      </c>
    </row>
    <row r="17">
      <c r="A17" s="11" t="n">
        <v>46276</v>
      </c>
      <c r="B17" s="8" t="inlineStr">
        <is>
          <t>Vencimiento de CDAT</t>
        </is>
      </c>
      <c r="C17" s="8" t="inlineStr">
        <is>
          <t>Salida</t>
        </is>
      </c>
      <c r="D17" s="9" t="n">
        <v>2228269596</v>
      </c>
    </row>
    <row r="18">
      <c r="A18" s="11" t="n">
        <v>46277</v>
      </c>
      <c r="B18" s="8" t="inlineStr">
        <is>
          <t>Pago de obligaciones financieras</t>
        </is>
      </c>
      <c r="C18" s="8" t="inlineStr">
        <is>
          <t>Salida</t>
        </is>
      </c>
      <c r="D18" s="9" t="n">
        <v>2500000000</v>
      </c>
    </row>
    <row r="19">
      <c r="A19" s="11" t="n">
        <v>46279</v>
      </c>
      <c r="B19" s="8" t="inlineStr">
        <is>
          <t>Vencimiento de CDAT</t>
        </is>
      </c>
      <c r="C19" s="8" t="inlineStr">
        <is>
          <t>Salida</t>
        </is>
      </c>
      <c r="D19" s="9" t="n">
        <v>2331039809</v>
      </c>
    </row>
    <row r="20">
      <c r="A20" s="11" t="n">
        <v>46280</v>
      </c>
      <c r="B20" s="8" t="inlineStr">
        <is>
          <t>Vencimiento de CDAT</t>
        </is>
      </c>
      <c r="C20" s="8" t="inlineStr">
        <is>
          <t>Salida</t>
        </is>
      </c>
      <c r="D20" s="9" t="n">
        <v>1434015552</v>
      </c>
    </row>
    <row r="21">
      <c r="A21" s="11" t="n">
        <v>46281</v>
      </c>
      <c r="B21" s="8" t="inlineStr">
        <is>
          <t>Vencimiento de CDAT</t>
        </is>
      </c>
      <c r="C21" s="8" t="inlineStr">
        <is>
          <t>Salida</t>
        </is>
      </c>
      <c r="D21" s="9" t="n">
        <v>2921394686</v>
      </c>
    </row>
    <row r="22">
      <c r="A22" s="11" t="n">
        <v>46282</v>
      </c>
      <c r="B22" s="8" t="inlineStr">
        <is>
          <t>Vencimiento de CDAT</t>
        </is>
      </c>
      <c r="C22" s="8" t="inlineStr">
        <is>
          <t>Salida</t>
        </is>
      </c>
      <c r="D22" s="9" t="n">
        <v>2642466702</v>
      </c>
    </row>
    <row r="23">
      <c r="A23" s="11" t="n">
        <v>46282</v>
      </c>
      <c r="B23" s="8" t="inlineStr">
        <is>
          <t>Desembolsos de crédito comprometidos</t>
        </is>
      </c>
      <c r="C23" s="8" t="inlineStr">
        <is>
          <t>Salida</t>
        </is>
      </c>
      <c r="D23" s="9" t="n">
        <v>4318418927</v>
      </c>
    </row>
    <row r="24">
      <c r="A24" s="11" t="n">
        <v>46282</v>
      </c>
      <c r="B24" s="8" t="inlineStr">
        <is>
          <t>Recaudo de cartera</t>
        </is>
      </c>
      <c r="C24" s="8" t="inlineStr">
        <is>
          <t>Entrada</t>
        </is>
      </c>
      <c r="D24" s="9" t="n">
        <v>6957996214</v>
      </c>
    </row>
    <row r="25">
      <c r="A25" s="11" t="n">
        <v>46283</v>
      </c>
      <c r="B25" s="8" t="inlineStr">
        <is>
          <t>Vencimiento de CDAT</t>
        </is>
      </c>
      <c r="C25" s="8" t="inlineStr">
        <is>
          <t>Salida</t>
        </is>
      </c>
      <c r="D25" s="9" t="n">
        <v>3101865245</v>
      </c>
    </row>
    <row r="26">
      <c r="A26" s="11" t="n">
        <v>46286</v>
      </c>
      <c r="B26" s="8" t="inlineStr">
        <is>
          <t>Vencimiento de CDAT</t>
        </is>
      </c>
      <c r="C26" s="8" t="inlineStr">
        <is>
          <t>Salida</t>
        </is>
      </c>
      <c r="D26" s="9" t="n">
        <v>3106651510</v>
      </c>
    </row>
    <row r="27">
      <c r="A27" s="11" t="n">
        <v>46287</v>
      </c>
      <c r="B27" s="8" t="inlineStr">
        <is>
          <t>Vencimiento de CDAT</t>
        </is>
      </c>
      <c r="C27" s="8" t="inlineStr">
        <is>
          <t>Salida</t>
        </is>
      </c>
      <c r="D27" s="9" t="n">
        <v>2405187117</v>
      </c>
    </row>
    <row r="28">
      <c r="A28" s="11" t="n">
        <v>46288</v>
      </c>
      <c r="B28" s="8" t="inlineStr">
        <is>
          <t>Vencimiento de CDAT</t>
        </is>
      </c>
      <c r="C28" s="8" t="inlineStr">
        <is>
          <t>Salida</t>
        </is>
      </c>
      <c r="D28" s="9" t="n">
        <v>3428108516</v>
      </c>
    </row>
    <row r="29">
      <c r="A29" s="11" t="n">
        <v>46289</v>
      </c>
      <c r="B29" s="8" t="inlineStr">
        <is>
          <t>Vencimiento de CDAT</t>
        </is>
      </c>
      <c r="C29" s="8" t="inlineStr">
        <is>
          <t>Salida</t>
        </is>
      </c>
      <c r="D29" s="9" t="n">
        <v>1918803722</v>
      </c>
    </row>
    <row r="30">
      <c r="A30" s="11" t="n">
        <v>46289</v>
      </c>
      <c r="B30" s="8" t="inlineStr">
        <is>
          <t>Desembolsos de crédito comprometidos</t>
        </is>
      </c>
      <c r="C30" s="8" t="inlineStr">
        <is>
          <t>Salida</t>
        </is>
      </c>
      <c r="D30" s="9" t="n">
        <v>5165955595</v>
      </c>
    </row>
    <row r="31">
      <c r="A31" s="11" t="n">
        <v>46289</v>
      </c>
      <c r="B31" s="8" t="inlineStr">
        <is>
          <t>Recaudo de cartera</t>
        </is>
      </c>
      <c r="C31" s="8" t="inlineStr">
        <is>
          <t>Entrada</t>
        </is>
      </c>
      <c r="D31" s="9" t="n">
        <v>6600743995</v>
      </c>
    </row>
    <row r="32">
      <c r="A32" s="11" t="n">
        <v>46290</v>
      </c>
      <c r="B32" s="8" t="inlineStr">
        <is>
          <t>Vencimiento de CDAT</t>
        </is>
      </c>
      <c r="C32" s="8" t="inlineStr">
        <is>
          <t>Salida</t>
        </is>
      </c>
      <c r="D32" s="9" t="n">
        <v>2226122608</v>
      </c>
    </row>
    <row r="33">
      <c r="A33" s="11" t="n">
        <v>46293</v>
      </c>
      <c r="B33" s="8" t="inlineStr">
        <is>
          <t>Vencimiento de CDAT</t>
        </is>
      </c>
      <c r="C33" s="8" t="inlineStr">
        <is>
          <t>Salida</t>
        </is>
      </c>
      <c r="D33" s="9" t="n">
        <v>2869538051</v>
      </c>
    </row>
    <row r="34">
      <c r="A34" s="11" t="n">
        <v>46294</v>
      </c>
      <c r="B34" s="8" t="inlineStr">
        <is>
          <t>Vencimiento de CDAT</t>
        </is>
      </c>
      <c r="C34" s="8" t="inlineStr">
        <is>
          <t>Salida</t>
        </is>
      </c>
      <c r="D34" s="9" t="n">
        <v>3466143558</v>
      </c>
    </row>
    <row r="35">
      <c r="A35" s="11" t="n">
        <v>46295</v>
      </c>
      <c r="B35" s="8" t="inlineStr">
        <is>
          <t>Vencimiento de CDAT</t>
        </is>
      </c>
      <c r="C35" s="8" t="inlineStr">
        <is>
          <t>Salida</t>
        </is>
      </c>
      <c r="D35" s="9" t="n">
        <v>3728068340</v>
      </c>
    </row>
    <row r="36">
      <c r="A36" s="11" t="n">
        <v>46296</v>
      </c>
      <c r="B36" s="8" t="inlineStr">
        <is>
          <t>Vencimiento de CDAT</t>
        </is>
      </c>
      <c r="C36" s="8" t="inlineStr">
        <is>
          <t>Salida</t>
        </is>
      </c>
      <c r="D36" s="9" t="n">
        <v>599104903</v>
      </c>
    </row>
    <row r="37">
      <c r="A37" s="11" t="n">
        <v>46296</v>
      </c>
      <c r="B37" s="8" t="inlineStr">
        <is>
          <t>Recaudo de cartera</t>
        </is>
      </c>
      <c r="C37" s="8" t="inlineStr">
        <is>
          <t>Entrada</t>
        </is>
      </c>
      <c r="D37" s="9" t="n">
        <v>6454122788</v>
      </c>
    </row>
    <row r="38">
      <c r="A38" s="11" t="n">
        <v>46296</v>
      </c>
      <c r="B38" s="8" t="inlineStr">
        <is>
          <t>Desembolsos de crédito comprometidos</t>
        </is>
      </c>
      <c r="C38" s="8" t="inlineStr">
        <is>
          <t>Salida</t>
        </is>
      </c>
      <c r="D38" s="9" t="n">
        <v>4918112206</v>
      </c>
    </row>
    <row r="39">
      <c r="A39" s="11" t="n">
        <v>46297</v>
      </c>
      <c r="B39" s="8" t="inlineStr">
        <is>
          <t>Vencimiento de CDAT</t>
        </is>
      </c>
      <c r="C39" s="8" t="inlineStr">
        <is>
          <t>Salida</t>
        </is>
      </c>
      <c r="D39" s="9" t="n">
        <v>387280420</v>
      </c>
    </row>
    <row r="40">
      <c r="A40" s="11" t="n">
        <v>46300</v>
      </c>
      <c r="B40" s="8" t="inlineStr">
        <is>
          <t>Vencimiento de CDAT</t>
        </is>
      </c>
      <c r="C40" s="8" t="inlineStr">
        <is>
          <t>Salida</t>
        </is>
      </c>
      <c r="D40" s="9" t="n">
        <v>535584944</v>
      </c>
    </row>
    <row r="41">
      <c r="A41" s="11" t="n">
        <v>46301</v>
      </c>
      <c r="B41" s="8" t="inlineStr">
        <is>
          <t>Vencimiento de CDAT</t>
        </is>
      </c>
      <c r="C41" s="8" t="inlineStr">
        <is>
          <t>Salida</t>
        </is>
      </c>
      <c r="D41" s="9" t="n">
        <v>447352582</v>
      </c>
    </row>
    <row r="42">
      <c r="A42" s="11" t="n">
        <v>46302</v>
      </c>
      <c r="B42" s="8" t="inlineStr">
        <is>
          <t>Vencimiento de CDAT</t>
        </is>
      </c>
      <c r="C42" s="8" t="inlineStr">
        <is>
          <t>Salida</t>
        </is>
      </c>
      <c r="D42" s="9" t="n">
        <v>476529367</v>
      </c>
    </row>
    <row r="43">
      <c r="A43" s="11" t="n">
        <v>46303</v>
      </c>
      <c r="B43" s="8" t="inlineStr">
        <is>
          <t>Vencimiento de CDAT</t>
        </is>
      </c>
      <c r="C43" s="8" t="inlineStr">
        <is>
          <t>Salida</t>
        </is>
      </c>
      <c r="D43" s="9" t="n">
        <v>596782031</v>
      </c>
    </row>
    <row r="44">
      <c r="A44" s="11" t="n">
        <v>46303</v>
      </c>
      <c r="B44" s="8" t="inlineStr">
        <is>
          <t>Desembolsos de crédito comprometidos</t>
        </is>
      </c>
      <c r="C44" s="8" t="inlineStr">
        <is>
          <t>Salida</t>
        </is>
      </c>
      <c r="D44" s="9" t="n">
        <v>4133620165</v>
      </c>
    </row>
    <row r="45">
      <c r="A45" s="11" t="n">
        <v>46303</v>
      </c>
      <c r="B45" s="8" t="inlineStr">
        <is>
          <t>Recaudo de cartera</t>
        </is>
      </c>
      <c r="C45" s="8" t="inlineStr">
        <is>
          <t>Entrada</t>
        </is>
      </c>
      <c r="D45" s="9" t="n">
        <v>6055815334</v>
      </c>
    </row>
    <row r="46">
      <c r="A46" s="11" t="n">
        <v>46304</v>
      </c>
      <c r="B46" s="8" t="inlineStr">
        <is>
          <t>Vencimiento de CDAT</t>
        </is>
      </c>
      <c r="C46" s="8" t="inlineStr">
        <is>
          <t>Salida</t>
        </is>
      </c>
      <c r="D46" s="9" t="n">
        <v>370710461</v>
      </c>
    </row>
    <row r="47">
      <c r="A47" s="11" t="n">
        <v>46305</v>
      </c>
      <c r="B47" s="8" t="inlineStr">
        <is>
          <t>Pago de obligaciones financieras</t>
        </is>
      </c>
      <c r="C47" s="8" t="inlineStr">
        <is>
          <t>Salida</t>
        </is>
      </c>
      <c r="D47" s="9" t="n">
        <v>3000000000</v>
      </c>
    </row>
    <row r="48">
      <c r="A48" s="11" t="n">
        <v>46307</v>
      </c>
      <c r="B48" s="8" t="inlineStr">
        <is>
          <t>Vencimiento de CDAT</t>
        </is>
      </c>
      <c r="C48" s="8" t="inlineStr">
        <is>
          <t>Salida</t>
        </is>
      </c>
      <c r="D48" s="9" t="n">
        <v>424981751</v>
      </c>
    </row>
    <row r="49">
      <c r="A49" s="11" t="n">
        <v>46308</v>
      </c>
      <c r="B49" s="8" t="inlineStr">
        <is>
          <t>Vencimiento de CDAT</t>
        </is>
      </c>
      <c r="C49" s="8" t="inlineStr">
        <is>
          <t>Salida</t>
        </is>
      </c>
      <c r="D49" s="9" t="n">
        <v>387030627</v>
      </c>
    </row>
    <row r="50">
      <c r="A50" s="11" t="n">
        <v>46309</v>
      </c>
      <c r="B50" s="8" t="inlineStr">
        <is>
          <t>Vencimiento de CDAT</t>
        </is>
      </c>
      <c r="C50" s="8" t="inlineStr">
        <is>
          <t>Salida</t>
        </is>
      </c>
      <c r="D50" s="9" t="n">
        <v>608205902</v>
      </c>
    </row>
    <row r="51">
      <c r="A51" s="11" t="n">
        <v>46310</v>
      </c>
      <c r="B51" s="8" t="inlineStr">
        <is>
          <t>Vencimiento de CDAT</t>
        </is>
      </c>
      <c r="C51" s="8" t="inlineStr">
        <is>
          <t>Salida</t>
        </is>
      </c>
      <c r="D51" s="9" t="n">
        <v>446095518</v>
      </c>
    </row>
    <row r="52">
      <c r="A52" s="11" t="n">
        <v>46310</v>
      </c>
      <c r="B52" s="8" t="inlineStr">
        <is>
          <t>Desembolsos de crédito comprometidos</t>
        </is>
      </c>
      <c r="C52" s="8" t="inlineStr">
        <is>
          <t>Salida</t>
        </is>
      </c>
      <c r="D52" s="9" t="n">
        <v>4422761014</v>
      </c>
    </row>
    <row r="53">
      <c r="A53" s="11" t="n">
        <v>46310</v>
      </c>
      <c r="B53" s="8" t="inlineStr">
        <is>
          <t>Recaudo de cartera</t>
        </is>
      </c>
      <c r="C53" s="8" t="inlineStr">
        <is>
          <t>Entrada</t>
        </is>
      </c>
      <c r="D53" s="9" t="n">
        <v>6451064493</v>
      </c>
    </row>
    <row r="54">
      <c r="A54" s="11" t="n">
        <v>46311</v>
      </c>
      <c r="B54" s="8" t="inlineStr">
        <is>
          <t>Vencimiento de CDAT</t>
        </is>
      </c>
      <c r="C54" s="8" t="inlineStr">
        <is>
          <t>Salida</t>
        </is>
      </c>
      <c r="D54" s="9" t="n">
        <v>503119695</v>
      </c>
    </row>
    <row r="55">
      <c r="A55" s="11" t="n">
        <v>46314</v>
      </c>
      <c r="B55" s="8" t="inlineStr">
        <is>
          <t>Vencimiento de CDAT</t>
        </is>
      </c>
      <c r="C55" s="8" t="inlineStr">
        <is>
          <t>Salida</t>
        </is>
      </c>
      <c r="D55" s="9" t="n">
        <v>452945416</v>
      </c>
    </row>
    <row r="56">
      <c r="A56" s="11" t="n">
        <v>46315</v>
      </c>
      <c r="B56" s="8" t="inlineStr">
        <is>
          <t>Vencimiento de CDAT</t>
        </is>
      </c>
      <c r="C56" s="8" t="inlineStr">
        <is>
          <t>Salida</t>
        </is>
      </c>
      <c r="D56" s="9" t="n">
        <v>322283632</v>
      </c>
    </row>
    <row r="57">
      <c r="A57" s="11" t="n">
        <v>46316</v>
      </c>
      <c r="B57" s="8" t="inlineStr">
        <is>
          <t>Vencimiento de CDAT</t>
        </is>
      </c>
      <c r="C57" s="8" t="inlineStr">
        <is>
          <t>Salida</t>
        </is>
      </c>
      <c r="D57" s="9" t="n">
        <v>461338942</v>
      </c>
    </row>
    <row r="58">
      <c r="A58" s="11" t="n">
        <v>46317</v>
      </c>
      <c r="B58" s="8" t="inlineStr">
        <is>
          <t>Desembolsos de crédito comprometidos</t>
        </is>
      </c>
      <c r="C58" s="8" t="inlineStr">
        <is>
          <t>Salida</t>
        </is>
      </c>
      <c r="D58" s="9" t="n">
        <v>4914708174</v>
      </c>
    </row>
    <row r="59">
      <c r="A59" s="11" t="n">
        <v>46317</v>
      </c>
      <c r="B59" s="8" t="inlineStr">
        <is>
          <t>Vencimiento de CDAT</t>
        </is>
      </c>
      <c r="C59" s="8" t="inlineStr">
        <is>
          <t>Salida</t>
        </is>
      </c>
      <c r="D59" s="9" t="n">
        <v>552775966</v>
      </c>
    </row>
    <row r="60">
      <c r="A60" s="11" t="n">
        <v>46317</v>
      </c>
      <c r="B60" s="8" t="inlineStr">
        <is>
          <t>Recaudo de cartera</t>
        </is>
      </c>
      <c r="C60" s="8" t="inlineStr">
        <is>
          <t>Entrada</t>
        </is>
      </c>
      <c r="D60" s="9" t="n">
        <v>7178424074</v>
      </c>
    </row>
    <row r="61">
      <c r="A61" s="11" t="n">
        <v>46318</v>
      </c>
      <c r="B61" s="8" t="inlineStr">
        <is>
          <t>Vencimiento de CDAT</t>
        </is>
      </c>
      <c r="C61" s="8" t="inlineStr">
        <is>
          <t>Salida</t>
        </is>
      </c>
      <c r="D61" s="9" t="n">
        <v>426857943</v>
      </c>
    </row>
    <row r="62">
      <c r="A62" s="11" t="n">
        <v>46321</v>
      </c>
      <c r="B62" s="8" t="inlineStr">
        <is>
          <t>Vencimiento de CDAT</t>
        </is>
      </c>
      <c r="C62" s="8" t="inlineStr">
        <is>
          <t>Salida</t>
        </is>
      </c>
      <c r="D62" s="9" t="n">
        <v>588700489</v>
      </c>
    </row>
    <row r="63">
      <c r="A63" s="11" t="n">
        <v>46322</v>
      </c>
      <c r="B63" s="8" t="inlineStr">
        <is>
          <t>Vencimiento de CDAT</t>
        </is>
      </c>
      <c r="C63" s="8" t="inlineStr">
        <is>
          <t>Salida</t>
        </is>
      </c>
      <c r="D63" s="9" t="n">
        <v>517484445</v>
      </c>
    </row>
    <row r="64">
      <c r="A64" s="11" t="n">
        <v>46323</v>
      </c>
      <c r="B64" s="8" t="inlineStr">
        <is>
          <t>Vencimiento de CDAT</t>
        </is>
      </c>
      <c r="C64" s="8" t="inlineStr">
        <is>
          <t>Salida</t>
        </is>
      </c>
      <c r="D64" s="9" t="n">
        <v>304668058</v>
      </c>
    </row>
    <row r="65">
      <c r="A65" s="11" t="n">
        <v>46324</v>
      </c>
      <c r="B65" s="8" t="inlineStr">
        <is>
          <t>Vencimiento de CDAT</t>
        </is>
      </c>
      <c r="C65" s="8" t="inlineStr">
        <is>
          <t>Salida</t>
        </is>
      </c>
      <c r="D65" s="9" t="n">
        <v>533159646</v>
      </c>
    </row>
    <row r="66">
      <c r="A66" s="11" t="n">
        <v>46324</v>
      </c>
      <c r="B66" s="8" t="inlineStr">
        <is>
          <t>Desembolsos de crédito comprometidos</t>
        </is>
      </c>
      <c r="C66" s="8" t="inlineStr">
        <is>
          <t>Salida</t>
        </is>
      </c>
      <c r="D66" s="9" t="n">
        <v>5183709534</v>
      </c>
    </row>
    <row r="67">
      <c r="A67" s="11" t="n">
        <v>46324</v>
      </c>
      <c r="B67" s="8" t="inlineStr">
        <is>
          <t>Recaudo de cartera</t>
        </is>
      </c>
      <c r="C67" s="8" t="inlineStr">
        <is>
          <t>Entrada</t>
        </is>
      </c>
      <c r="D67" s="9" t="n">
        <v>6335669067</v>
      </c>
    </row>
    <row r="68">
      <c r="A68" s="11" t="n">
        <v>46325</v>
      </c>
      <c r="B68" s="8" t="inlineStr">
        <is>
          <t>Vencimiento de CDAT</t>
        </is>
      </c>
      <c r="C68" s="8" t="inlineStr">
        <is>
          <t>Salida</t>
        </is>
      </c>
      <c r="D68" s="9" t="n">
        <v>425521621</v>
      </c>
    </row>
    <row r="69">
      <c r="A69" s="11" t="n">
        <v>46328</v>
      </c>
      <c r="B69" s="8" t="inlineStr">
        <is>
          <t>Vencimiento de CDAT</t>
        </is>
      </c>
      <c r="C69" s="8" t="inlineStr">
        <is>
          <t>Salida</t>
        </is>
      </c>
      <c r="D69" s="9" t="n">
        <v>386180634</v>
      </c>
    </row>
    <row r="70">
      <c r="A70" s="11" t="n">
        <v>46329</v>
      </c>
      <c r="B70" s="8" t="inlineStr">
        <is>
          <t>Vencimiento de CDAT</t>
        </is>
      </c>
      <c r="C70" s="8" t="inlineStr">
        <is>
          <t>Salida</t>
        </is>
      </c>
      <c r="D70" s="9" t="n">
        <v>545902598</v>
      </c>
    </row>
    <row r="71">
      <c r="A71" s="11" t="n">
        <v>46330</v>
      </c>
      <c r="B71" s="8" t="inlineStr">
        <is>
          <t>Vencimiento de CDAT</t>
        </is>
      </c>
      <c r="C71" s="8" t="inlineStr">
        <is>
          <t>Salida</t>
        </is>
      </c>
      <c r="D71" s="9" t="n">
        <v>611508333</v>
      </c>
    </row>
    <row r="72">
      <c r="A72" s="11" t="n">
        <v>46331</v>
      </c>
      <c r="B72" s="8" t="inlineStr">
        <is>
          <t>Vencimiento de CDAT</t>
        </is>
      </c>
      <c r="C72" s="8" t="inlineStr">
        <is>
          <t>Salida</t>
        </is>
      </c>
      <c r="D72" s="9" t="n">
        <v>374048351</v>
      </c>
    </row>
    <row r="73">
      <c r="A73" s="11" t="n">
        <v>46331</v>
      </c>
      <c r="B73" s="8" t="inlineStr">
        <is>
          <t>Desembolsos de crédito comprometidos</t>
        </is>
      </c>
      <c r="C73" s="8" t="inlineStr">
        <is>
          <t>Salida</t>
        </is>
      </c>
      <c r="D73" s="9" t="n">
        <v>4471713520</v>
      </c>
    </row>
    <row r="74">
      <c r="A74" s="11" t="n">
        <v>46331</v>
      </c>
      <c r="B74" s="8" t="inlineStr">
        <is>
          <t>Recaudo de cartera</t>
        </is>
      </c>
      <c r="C74" s="8" t="inlineStr">
        <is>
          <t>Entrada</t>
        </is>
      </c>
      <c r="D74" s="9" t="n">
        <v>6951093008</v>
      </c>
    </row>
    <row r="75">
      <c r="A75" s="11" t="n">
        <v>46332</v>
      </c>
      <c r="B75" s="8" t="inlineStr">
        <is>
          <t>Vencimiento de CDAT</t>
        </is>
      </c>
      <c r="C75" s="8" t="inlineStr">
        <is>
          <t>Salida</t>
        </is>
      </c>
      <c r="D75" s="9" t="n">
        <v>605778395</v>
      </c>
    </row>
    <row r="76">
      <c r="A76" s="11" t="n">
        <v>46335</v>
      </c>
      <c r="B76" s="8" t="inlineStr">
        <is>
          <t>Vencimiento de CDAT</t>
        </is>
      </c>
      <c r="C76" s="8" t="inlineStr">
        <is>
          <t>Salida</t>
        </is>
      </c>
      <c r="D76" s="9" t="n">
        <v>638214645</v>
      </c>
    </row>
    <row r="77">
      <c r="A77" s="11" t="n">
        <v>46336</v>
      </c>
      <c r="B77" s="8" t="inlineStr">
        <is>
          <t>Vencimiento de CDAT</t>
        </is>
      </c>
      <c r="C77" s="8" t="inlineStr">
        <is>
          <t>Salida</t>
        </is>
      </c>
      <c r="D77" s="9" t="n">
        <v>566494099</v>
      </c>
    </row>
    <row r="78">
      <c r="A78" s="11" t="n">
        <v>46337</v>
      </c>
      <c r="B78" s="8" t="inlineStr">
        <is>
          <t>Vencimiento de CDAT</t>
        </is>
      </c>
      <c r="C78" s="8" t="inlineStr">
        <is>
          <t>Salida</t>
        </is>
      </c>
      <c r="D78" s="9" t="n">
        <v>544000602</v>
      </c>
    </row>
    <row r="79">
      <c r="A79" s="11" t="n">
        <v>46338</v>
      </c>
      <c r="B79" s="8" t="inlineStr">
        <is>
          <t>Recaudo de cartera</t>
        </is>
      </c>
      <c r="C79" s="8" t="inlineStr">
        <is>
          <t>Entrada</t>
        </is>
      </c>
      <c r="D79" s="9" t="n">
        <v>6437074935</v>
      </c>
    </row>
    <row r="80">
      <c r="A80" s="11" t="n">
        <v>46338</v>
      </c>
      <c r="B80" s="8" t="inlineStr">
        <is>
          <t>Vencimiento de CDAT</t>
        </is>
      </c>
      <c r="C80" s="8" t="inlineStr">
        <is>
          <t>Salida</t>
        </is>
      </c>
      <c r="D80" s="9" t="n">
        <v>385187887</v>
      </c>
    </row>
    <row r="81">
      <c r="A81" s="11" t="n">
        <v>46338</v>
      </c>
      <c r="B81" s="8" t="inlineStr">
        <is>
          <t>Desembolsos de crédito comprometidos</t>
        </is>
      </c>
      <c r="C81" s="8" t="inlineStr">
        <is>
          <t>Salida</t>
        </is>
      </c>
      <c r="D81" s="9" t="n">
        <v>4322428275</v>
      </c>
    </row>
    <row r="82">
      <c r="A82" s="11" t="n">
        <v>46339</v>
      </c>
      <c r="B82" s="8" t="inlineStr">
        <is>
          <t>Vencimiento de CDAT</t>
        </is>
      </c>
      <c r="C82" s="8" t="inlineStr">
        <is>
          <t>Salida</t>
        </is>
      </c>
      <c r="D82" s="9" t="n">
        <v>549965642</v>
      </c>
    </row>
    <row r="83">
      <c r="A83" s="11" t="n">
        <v>46342</v>
      </c>
      <c r="B83" s="8" t="inlineStr">
        <is>
          <t>Vencimiento de CDAT</t>
        </is>
      </c>
      <c r="C83" s="8" t="inlineStr">
        <is>
          <t>Salida</t>
        </is>
      </c>
      <c r="D83" s="9" t="n">
        <v>480730390</v>
      </c>
    </row>
    <row r="84">
      <c r="A84" s="11" t="n">
        <v>46343</v>
      </c>
      <c r="B84" s="8" t="inlineStr">
        <is>
          <t>Vencimiento de CDAT</t>
        </is>
      </c>
      <c r="C84" s="8" t="inlineStr">
        <is>
          <t>Salida</t>
        </is>
      </c>
      <c r="D84" s="9" t="n">
        <v>439432239</v>
      </c>
    </row>
    <row r="85">
      <c r="A85" s="11" t="n">
        <v>46344</v>
      </c>
      <c r="B85" s="8" t="inlineStr">
        <is>
          <t>Vencimiento de CDAT</t>
        </is>
      </c>
      <c r="C85" s="8" t="inlineStr">
        <is>
          <t>Salida</t>
        </is>
      </c>
      <c r="D85" s="9" t="n">
        <v>430630451</v>
      </c>
    </row>
    <row r="86">
      <c r="A86" s="11" t="n">
        <v>46345</v>
      </c>
      <c r="B86" s="8" t="inlineStr">
        <is>
          <t>Vencimiento de CDAT</t>
        </is>
      </c>
      <c r="C86" s="8" t="inlineStr">
        <is>
          <t>Salida</t>
        </is>
      </c>
      <c r="D86" s="9" t="n">
        <v>507821388</v>
      </c>
    </row>
    <row r="87">
      <c r="A87" s="11" t="n">
        <v>46345</v>
      </c>
      <c r="B87" s="8" t="inlineStr">
        <is>
          <t>Desembolsos de crédito comprometidos</t>
        </is>
      </c>
      <c r="C87" s="8" t="inlineStr">
        <is>
          <t>Salida</t>
        </is>
      </c>
      <c r="D87" s="9" t="n">
        <v>4804792989</v>
      </c>
    </row>
    <row r="88">
      <c r="A88" s="11" t="n">
        <v>46345</v>
      </c>
      <c r="B88" s="8" t="inlineStr">
        <is>
          <t>Recaudo de cartera</t>
        </is>
      </c>
      <c r="C88" s="8" t="inlineStr">
        <is>
          <t>Entrada</t>
        </is>
      </c>
      <c r="D88" s="9" t="n">
        <v>6672269066</v>
      </c>
    </row>
    <row r="89">
      <c r="A89" s="11" t="n">
        <v>46346</v>
      </c>
      <c r="B89" s="8" t="inlineStr">
        <is>
          <t>Vencimiento de CDAT</t>
        </is>
      </c>
      <c r="C89" s="8" t="inlineStr">
        <is>
          <t>Salida</t>
        </is>
      </c>
      <c r="D89" s="9" t="n">
        <v>641480979</v>
      </c>
    </row>
    <row r="90">
      <c r="A90" s="11" t="n">
        <v>46349</v>
      </c>
      <c r="B90" s="8" t="inlineStr">
        <is>
          <t>Vencimiento de CDAT</t>
        </is>
      </c>
      <c r="C90" s="8" t="inlineStr">
        <is>
          <t>Salida</t>
        </is>
      </c>
      <c r="D90" s="9" t="n">
        <v>615779030</v>
      </c>
    </row>
    <row r="91">
      <c r="A91" s="11" t="n">
        <v>46350</v>
      </c>
      <c r="B91" s="8" t="inlineStr">
        <is>
          <t>Vencimiento de CDAT</t>
        </is>
      </c>
      <c r="C91" s="8" t="inlineStr">
        <is>
          <t>Salida</t>
        </is>
      </c>
      <c r="D91" s="9" t="n">
        <v>456718323</v>
      </c>
    </row>
    <row r="92">
      <c r="A92" s="11" t="n">
        <v>46351</v>
      </c>
      <c r="B92" s="8" t="inlineStr">
        <is>
          <t>Vencimiento de CDAT</t>
        </is>
      </c>
      <c r="C92" s="8" t="inlineStr">
        <is>
          <t>Salida</t>
        </is>
      </c>
      <c r="D92" s="9" t="n">
        <v>395825365</v>
      </c>
    </row>
    <row r="93">
      <c r="A93" s="11" t="n">
        <v>46352</v>
      </c>
      <c r="B93" s="8" t="inlineStr">
        <is>
          <t>Recaudo de cartera</t>
        </is>
      </c>
      <c r="C93" s="8" t="inlineStr">
        <is>
          <t>Entrada</t>
        </is>
      </c>
      <c r="D93" s="9" t="n">
        <v>6602120309</v>
      </c>
    </row>
    <row r="94">
      <c r="A94" s="11" t="n">
        <v>46352</v>
      </c>
      <c r="B94" s="8" t="inlineStr">
        <is>
          <t>Desembolsos de crédito comprometidos</t>
        </is>
      </c>
      <c r="C94" s="8" t="inlineStr">
        <is>
          <t>Salida</t>
        </is>
      </c>
      <c r="D94" s="9" t="n">
        <v>4096062897</v>
      </c>
    </row>
    <row r="95">
      <c r="A95" s="11" t="n">
        <v>46352</v>
      </c>
      <c r="B95" s="8" t="inlineStr">
        <is>
          <t>Vencimiento de CDAT</t>
        </is>
      </c>
      <c r="C95" s="8" t="inlineStr">
        <is>
          <t>Salida</t>
        </is>
      </c>
      <c r="D95" s="9" t="n">
        <v>443137946</v>
      </c>
    </row>
    <row r="96">
      <c r="A96" s="11" t="n">
        <v>46353</v>
      </c>
      <c r="B96" s="8" t="inlineStr">
        <is>
          <t>Vencimiento de CDAT</t>
        </is>
      </c>
      <c r="C96" s="8" t="inlineStr">
        <is>
          <t>Salida</t>
        </is>
      </c>
      <c r="D96" s="9" t="n">
        <v>325951106</v>
      </c>
    </row>
    <row r="97">
      <c r="A97" s="11" t="n">
        <v>46359</v>
      </c>
      <c r="B97" s="8" t="inlineStr">
        <is>
          <t>Desembolsos de crédito comprometidos</t>
        </is>
      </c>
      <c r="C97" s="8" t="inlineStr">
        <is>
          <t>Salida</t>
        </is>
      </c>
      <c r="D97" s="9" t="n">
        <v>5020898751</v>
      </c>
    </row>
    <row r="98">
      <c r="A98" s="11" t="n">
        <v>46359</v>
      </c>
      <c r="B98" s="8" t="inlineStr">
        <is>
          <t>Recaudo de cartera</t>
        </is>
      </c>
      <c r="C98" s="8" t="inlineStr">
        <is>
          <t>Entrada</t>
        </is>
      </c>
      <c r="D98" s="9" t="n">
        <v>6486558597</v>
      </c>
    </row>
    <row r="99">
      <c r="A99" s="11" t="n">
        <v>46366</v>
      </c>
      <c r="B99" s="8" t="inlineStr">
        <is>
          <t>Desembolsos de crédito comprometidos</t>
        </is>
      </c>
      <c r="C99" s="8" t="inlineStr">
        <is>
          <t>Salida</t>
        </is>
      </c>
      <c r="D99" s="9" t="n">
        <v>4297370269</v>
      </c>
    </row>
    <row r="100">
      <c r="A100" s="11" t="n">
        <v>46366</v>
      </c>
      <c r="B100" s="8" t="inlineStr">
        <is>
          <t>Recaudo de cartera</t>
        </is>
      </c>
      <c r="C100" s="8" t="inlineStr">
        <is>
          <t>Entrada</t>
        </is>
      </c>
      <c r="D100" s="9" t="n">
        <v>6530463014</v>
      </c>
    </row>
    <row r="101">
      <c r="A101" s="11" t="n">
        <v>46373</v>
      </c>
      <c r="B101" s="8" t="inlineStr">
        <is>
          <t>Desembolsos de crédito comprometidos</t>
        </is>
      </c>
      <c r="C101" s="8" t="inlineStr">
        <is>
          <t>Salida</t>
        </is>
      </c>
      <c r="D101" s="9" t="n">
        <v>4321254579</v>
      </c>
    </row>
    <row r="102">
      <c r="A102" s="11" t="n">
        <v>46373</v>
      </c>
      <c r="B102" s="8" t="inlineStr">
        <is>
          <t>Recaudo de cartera</t>
        </is>
      </c>
      <c r="C102" s="8" t="inlineStr">
        <is>
          <t>Entrada</t>
        </is>
      </c>
      <c r="D102" s="9" t="n">
        <v>6135650978</v>
      </c>
    </row>
    <row r="103">
      <c r="A103" s="11" t="n">
        <v>46380</v>
      </c>
      <c r="B103" s="8" t="inlineStr">
        <is>
          <t>Desembolsos de crédito comprometidos</t>
        </is>
      </c>
      <c r="C103" s="8" t="inlineStr">
        <is>
          <t>Salida</t>
        </is>
      </c>
      <c r="D103" s="9" t="n">
        <v>4618012453</v>
      </c>
    </row>
    <row r="104">
      <c r="A104" s="11" t="n">
        <v>46380</v>
      </c>
      <c r="B104" s="8" t="inlineStr">
        <is>
          <t>Recaudo de cartera</t>
        </is>
      </c>
      <c r="C104" s="8" t="inlineStr">
        <is>
          <t>Entrada</t>
        </is>
      </c>
      <c r="D104" s="9" t="n">
        <v>6539066719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Saldos de depósitos a la vista al corte</t>
        </is>
      </c>
    </row>
    <row r="4" ht="30" customHeight="1">
      <c r="A4" s="7" t="inlineStr">
        <is>
          <t>Producto</t>
        </is>
      </c>
      <c r="B4" s="7" t="inlineStr">
        <is>
          <t>Saldo (COP)</t>
        </is>
      </c>
    </row>
    <row r="5">
      <c r="A5" s="8" t="inlineStr">
        <is>
          <t>Ahorro a la vista</t>
        </is>
      </c>
      <c r="B5" s="9" t="n">
        <v>148000000000</v>
      </c>
    </row>
    <row r="6">
      <c r="A6" s="8" t="inlineStr">
        <is>
          <t>Ahorro programado</t>
        </is>
      </c>
      <c r="B6" s="9" t="n">
        <v>22200000000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Resumen de concentración por emisor (elaborado manualmente)</t>
        </is>
      </c>
    </row>
    <row r="2">
      <c r="A2" s="2" t="inlineStr">
        <is>
          <t>Tabla dinámica / SUMAR.SI sobre la columna Emisor tal como está escrita.</t>
        </is>
      </c>
    </row>
    <row r="3">
      <c r="A3" s="2" t="inlineStr">
        <is>
          <t>Tiempo estimado de elaboración mensual del informe manual: 4 horas.</t>
        </is>
      </c>
    </row>
    <row r="5" ht="30" customHeight="1">
      <c r="A5" s="7" t="inlineStr">
        <is>
          <t>Emisor</t>
        </is>
      </c>
      <c r="B5" s="7" t="inlineStr">
        <is>
          <t>Valor de mercado</t>
        </is>
      </c>
      <c r="C5" s="7" t="inlineStr">
        <is>
          <t>% del portafolio</t>
        </is>
      </c>
      <c r="D5" s="7" t="inlineStr">
        <is>
          <t>Límite</t>
        </is>
      </c>
      <c r="E5" s="7" t="inlineStr">
        <is>
          <t>Estado</t>
        </is>
      </c>
    </row>
    <row r="6">
      <c r="A6" s="6" t="inlineStr">
        <is>
          <t>Banco Altiplano</t>
        </is>
      </c>
      <c r="B6" s="5">
        <f>SUMIF(Inversiones!$D$6:$D$31,A6,Inversiones!$P$6:$P$31)</f>
        <v/>
      </c>
      <c r="C6" s="19">
        <f>IFERROR(B6/$B$21,0)</f>
        <v/>
      </c>
      <c r="D6" s="20" t="n">
        <v>0.15</v>
      </c>
      <c r="E6" s="6">
        <f>IF(D6="N.A.","N.A.",IF(C6&gt;D6,"EXCEDE","Cumple"))</f>
        <v/>
      </c>
    </row>
    <row r="7">
      <c r="A7" s="6" t="inlineStr">
        <is>
          <t>Banco Cordillera</t>
        </is>
      </c>
      <c r="B7" s="5">
        <f>SUMIF(Inversiones!$D$6:$D$31,A7,Inversiones!$P$6:$P$31)</f>
        <v/>
      </c>
      <c r="C7" s="19">
        <f>IFERROR(B7/$B$21,0)</f>
        <v/>
      </c>
      <c r="D7" s="20" t="n">
        <v>0.15</v>
      </c>
      <c r="E7" s="6">
        <f>IF(D7="N.A.","N.A.",IF(C7&gt;D7,"EXCEDE","Cumple"))</f>
        <v/>
      </c>
    </row>
    <row r="8">
      <c r="A8" s="6" t="inlineStr">
        <is>
          <t>FIC Renta Vista (Fiduciaria Sabana)</t>
        </is>
      </c>
      <c r="B8" s="5">
        <f>SUMIF(Inversiones!$D$6:$D$31,A8,Inversiones!$P$6:$P$31)</f>
        <v/>
      </c>
      <c r="C8" s="19">
        <f>IFERROR(B8/$B$21,0)</f>
        <v/>
      </c>
      <c r="D8" s="20" t="n">
        <v>0.15</v>
      </c>
      <c r="E8" s="6">
        <f>IF(D8="N.A.","N.A.",IF(C8&gt;D8,"EXCEDE","Cumple"))</f>
        <v/>
      </c>
    </row>
    <row r="9">
      <c r="A9" s="6" t="inlineStr">
        <is>
          <t>Nación - MHCP</t>
        </is>
      </c>
      <c r="B9" s="5">
        <f>SUMIF(Inversiones!$D$6:$D$31,A9,Inversiones!$P$6:$P$31)</f>
        <v/>
      </c>
      <c r="C9" s="19">
        <f>IFERROR(B9/$B$21,0)</f>
        <v/>
      </c>
      <c r="D9" s="20" t="inlineStr">
        <is>
          <t>N.A.</t>
        </is>
      </c>
      <c r="E9" s="6">
        <f>IF(D9="N.A.","N.A.",IF(C9&gt;D9,"EXCEDE","Cumple"))</f>
        <v/>
      </c>
    </row>
    <row r="10">
      <c r="A10" s="6" t="inlineStr">
        <is>
          <t>Banco Cordillera S.A.</t>
        </is>
      </c>
      <c r="B10" s="5">
        <f>SUMIF(Inversiones!$D$6:$D$31,A10,Inversiones!$P$6:$P$31)</f>
        <v/>
      </c>
      <c r="C10" s="19">
        <f>IFERROR(B10/$B$21,0)</f>
        <v/>
      </c>
      <c r="D10" s="20" t="n">
        <v>0.15</v>
      </c>
      <c r="E10" s="6">
        <f>IF(D10="N.A.","N.A.",IF(C10&gt;D10,"EXCEDE","Cumple"))</f>
        <v/>
      </c>
    </row>
    <row r="11">
      <c r="A11" s="6" t="inlineStr">
        <is>
          <t>Bco. Cordillera</t>
        </is>
      </c>
      <c r="B11" s="5">
        <f>SUMIF(Inversiones!$D$6:$D$31,A11,Inversiones!$P$6:$P$31)</f>
        <v/>
      </c>
      <c r="C11" s="19">
        <f>IFERROR(B11/$B$21,0)</f>
        <v/>
      </c>
      <c r="D11" s="20" t="n">
        <v>0.15</v>
      </c>
      <c r="E11" s="6">
        <f>IF(D11="N.A.","N.A.",IF(C11&gt;D11,"EXCEDE","Cumple"))</f>
        <v/>
      </c>
    </row>
    <row r="12">
      <c r="A12" s="6" t="inlineStr">
        <is>
          <t>Banco Guayacán</t>
        </is>
      </c>
      <c r="B12" s="5">
        <f>SUMIF(Inversiones!$D$6:$D$31,A12,Inversiones!$P$6:$P$31)</f>
        <v/>
      </c>
      <c r="C12" s="19">
        <f>IFERROR(B12/$B$21,0)</f>
        <v/>
      </c>
      <c r="D12" s="20" t="n">
        <v>0.15</v>
      </c>
      <c r="E12" s="6">
        <f>IF(D12="N.A.","N.A.",IF(C12&gt;D12,"EXCEDE","Cumple"))</f>
        <v/>
      </c>
    </row>
    <row r="13">
      <c r="A13" s="6" t="inlineStr">
        <is>
          <t>Financiera Río Claro</t>
        </is>
      </c>
      <c r="B13" s="5">
        <f>SUMIF(Inversiones!$D$6:$D$31,A13,Inversiones!$P$6:$P$31)</f>
        <v/>
      </c>
      <c r="C13" s="19">
        <f>IFERROR(B13/$B$21,0)</f>
        <v/>
      </c>
      <c r="D13" s="20" t="n">
        <v>0.15</v>
      </c>
      <c r="E13" s="6">
        <f>IF(D13="N.A.","N.A.",IF(C13&gt;D13,"EXCEDE","Cumple"))</f>
        <v/>
      </c>
    </row>
    <row r="14">
      <c r="A14" s="6" t="inlineStr">
        <is>
          <t>Leasing Nevado</t>
        </is>
      </c>
      <c r="B14" s="5">
        <f>SUMIF(Inversiones!$D$6:$D$31,A14,Inversiones!$P$6:$P$31)</f>
        <v/>
      </c>
      <c r="C14" s="19">
        <f>IFERROR(B14/$B$21,0)</f>
        <v/>
      </c>
      <c r="D14" s="20" t="n">
        <v>0.15</v>
      </c>
      <c r="E14" s="6">
        <f>IF(D14="N.A.","N.A.",IF(C14&gt;D14,"EXCEDE","Cumple"))</f>
        <v/>
      </c>
    </row>
    <row r="15">
      <c r="A15" s="6" t="inlineStr">
        <is>
          <t>Leasing Nevado S.A.</t>
        </is>
      </c>
      <c r="B15" s="5">
        <f>SUMIF(Inversiones!$D$6:$D$31,A15,Inversiones!$P$6:$P$31)</f>
        <v/>
      </c>
      <c r="C15" s="19">
        <f>IFERROR(B15/$B$21,0)</f>
        <v/>
      </c>
      <c r="D15" s="20" t="n">
        <v>0.15</v>
      </c>
      <c r="E15" s="6">
        <f>IF(D15="N.A.","N.A.",IF(C15&gt;D15,"EXCEDE","Cumple"))</f>
        <v/>
      </c>
    </row>
    <row r="16">
      <c r="A16" s="6" t="inlineStr">
        <is>
          <t>Energía del Norte S.A. E.S.P.</t>
        </is>
      </c>
      <c r="B16" s="5">
        <f>SUMIF(Inversiones!$D$6:$D$31,A16,Inversiones!$P$6:$P$31)</f>
        <v/>
      </c>
      <c r="C16" s="19">
        <f>IFERROR(B16/$B$21,0)</f>
        <v/>
      </c>
      <c r="D16" s="20" t="n">
        <v>0.15</v>
      </c>
      <c r="E16" s="6">
        <f>IF(D16="N.A.","N.A.",IF(C16&gt;D16,"EXCEDE","Cumple"))</f>
        <v/>
      </c>
    </row>
    <row r="17">
      <c r="A17" s="6" t="inlineStr">
        <is>
          <t>Corporación Sabana</t>
        </is>
      </c>
      <c r="B17" s="5">
        <f>SUMIF(Inversiones!$D$6:$D$31,A17,Inversiones!$P$6:$P$31)</f>
        <v/>
      </c>
      <c r="C17" s="19">
        <f>IFERROR(B17/$B$21,0)</f>
        <v/>
      </c>
      <c r="D17" s="20" t="n">
        <v>0.15</v>
      </c>
      <c r="E17" s="6">
        <f>IF(D17="N.A.","N.A.",IF(C17&gt;D17,"EXCEDE","Cumple"))</f>
        <v/>
      </c>
    </row>
    <row r="18">
      <c r="A18" s="6" t="inlineStr">
        <is>
          <t>Constructora Ceiba S.A.</t>
        </is>
      </c>
      <c r="B18" s="5">
        <f>SUMIF(Inversiones!$D$6:$D$31,A18,Inversiones!$P$6:$P$31)</f>
        <v/>
      </c>
      <c r="C18" s="19">
        <f>IFERROR(B18/$B$21,0)</f>
        <v/>
      </c>
      <c r="D18" s="20" t="n">
        <v>0.15</v>
      </c>
      <c r="E18" s="6">
        <f>IF(D18="N.A.","N.A.",IF(C18&gt;D18,"EXCEDE","Cumple"))</f>
        <v/>
      </c>
    </row>
    <row r="19">
      <c r="A19" s="6" t="inlineStr">
        <is>
          <t>ETF Índice Local</t>
        </is>
      </c>
      <c r="B19" s="5">
        <f>SUMIF(Inversiones!$D$6:$D$31,A19,Inversiones!$P$6:$P$31)</f>
        <v/>
      </c>
      <c r="C19" s="19">
        <f>IFERROR(B19/$B$21,0)</f>
        <v/>
      </c>
      <c r="D19" s="20" t="n">
        <v>0.15</v>
      </c>
      <c r="E19" s="6">
        <f>IF(D19="N.A.","N.A.",IF(C19&gt;D19,"EXCEDE","Cumple"))</f>
        <v/>
      </c>
    </row>
    <row r="21">
      <c r="A21" s="3" t="inlineStr">
        <is>
          <t>TOTAL</t>
        </is>
      </c>
      <c r="B21" s="21">
        <f>SUM(B6:B19)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2026-09-30T21:53:20Z</dcterms:created>
  <dcterms:modified xmlns:dcterms="http://purl.org/dc/terms/" xmlns:xsi="http://www.w3.org/2001/XMLSchema-instance" xsi:type="dcterms:W3CDTF">2026-09-30T21:53:20Z</dcterms:modified>
</cp:coreProperties>
</file>